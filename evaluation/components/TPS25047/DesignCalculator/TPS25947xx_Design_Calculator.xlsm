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sharedStrings.xml" ContentType="application/vnd.openxmlformats-officedocument.spreadsheetml.sharedStrings+xml"/>
  <Override PartName="/xl/vbaProject.bin" ContentType="application/vnd.ms-office.vbaProject"/>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2.xml" ContentType="application/vnd.openxmlformats-officedocument.drawingml.chart+xml"/>
  <Override PartName="/xl/charts/chart5.xml" ContentType="application/vnd.openxmlformats-officedocument.drawingml.chart+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0"/>
  </bookViews>
  <sheets>
    <sheet name="Calculation Sheet" sheetId="1" state="visible" r:id="rId4"/>
    <sheet name="Res EIA Tables" sheetId="2" state="visible" r:id="rId5"/>
    <sheet name="Cap Tables" sheetId="3" state="visible" r:id="rId6"/>
    <sheet name="TREL PLOT" sheetId="4" state="visible" r:id="rId7"/>
    <sheet name="TSD PLOT" sheetId="5" state="visible" r:id="rId8"/>
  </sheets>
  <externalReferences>
    <externalReference r:id="rId9"/>
  </externalReferences>
  <definedNames>
    <definedName function="false" hidden="true" localSheetId="3" name="_xlnm._FilterDatabase" vbProcedure="false">'TREL PLOT'!$A$1:$G$21</definedName>
    <definedName function="false" hidden="false" name="Cdvdt_ext" vbProcedure="false">'Calculation Sheet'!$D$86</definedName>
    <definedName function="false" hidden="false" name="Cdvdt_ext_cal1" vbProcedure="false">'Calculation Sheet'!$D$83</definedName>
    <definedName function="false" hidden="false" name="Cext_dvdt_cal2" vbProcedure="false">'Calculation Sheet'!$D$84</definedName>
    <definedName function="false" hidden="false" name="Cout" vbProcedure="false">'Calculation Sheet'!$D$18</definedName>
    <definedName function="false" hidden="false" name="GainIMON" vbProcedure="false">'Calculation Sheet'!$D$127</definedName>
    <definedName function="false" hidden="false" name="Gain_dVdt" vbProcedure="false">'calculation sheet'!#ref!</definedName>
    <definedName function="false" hidden="false" name="Icharge" vbProcedure="false">'Calculation Sheet'!$D$87</definedName>
    <definedName function="false" hidden="false" name="Icharge_req" vbProcedure="false">'Calculation Sheet'!$D$82</definedName>
    <definedName function="false" hidden="false" name="Ilimit" vbProcedure="false">'Calculation Sheet'!$D$22</definedName>
    <definedName function="false" hidden="false" name="Ilimit_final" vbProcedure="false">'Calculation Sheet'!$D$73</definedName>
    <definedName function="false" hidden="false" name="Imax" vbProcedure="false">'Calculation Sheet'!$D$21</definedName>
    <definedName function="false" hidden="false" name="I_dVdt" vbProcedure="false">'Calculation Sheet'!$D$78</definedName>
    <definedName function="false" hidden="false" name="Min_Ilim" vbProcedure="false">'[1]Calculation Sheet'!$G$39</definedName>
    <definedName function="false" hidden="false" name="Ncalc" vbProcedure="false">'[1]Calculation Sheet'!$H$84</definedName>
    <definedName function="false" hidden="false" name="NRETRY" vbProcedure="false">'[1]Calculation Sheet'!$D$20</definedName>
    <definedName function="false" hidden="false" name="OVref" vbProcedure="false">'Calculation Sheet'!$D$126</definedName>
    <definedName function="false" hidden="false" name="OVset" vbProcedure="false">'calculation sheet'!#ref!</definedName>
    <definedName function="false" hidden="false" name="PGTH" vbProcedure="false">'Calculation Sheet'!$D$128</definedName>
    <definedName function="false" hidden="false" name="Rdson_125deg" vbProcedure="false">'Calculation Sheet'!$D$119</definedName>
    <definedName function="false" hidden="false" name="Rdson_25deg" vbProcedure="false">'Calculation Sheet'!$D$118</definedName>
    <definedName function="false" hidden="false" name="RILIM" vbProcedure="false">'[1]Calculation Sheet'!$D$38</definedName>
    <definedName function="false" hidden="false" name="RILM" vbProcedure="false">'Calculation Sheet'!$D$72</definedName>
    <definedName function="false" hidden="false" name="Rlimit" vbProcedure="false">'calculation sheet'!#ref!</definedName>
    <definedName function="false" hidden="false" name="Rlstart" vbProcedure="false">'Calculation Sheet'!$D$19</definedName>
    <definedName function="false" hidden="false" name="RMON_sel" vbProcedure="false">'[1]Calculation Sheet'!$D$44</definedName>
    <definedName function="false" hidden="false" name="RpUVLO" vbProcedure="false">'calculation sheet'!#ref!</definedName>
    <definedName function="false" hidden="false" name="Tchg_dvdt" vbProcedure="false">'Calculation Sheet'!$D$89</definedName>
    <definedName function="false" hidden="false" name="Tchg_fastest" vbProcedure="false">'Calculation Sheet'!$D$80</definedName>
    <definedName function="false" hidden="false" name="Tchg_req" vbProcedure="false">'Calculation Sheet'!$D$81</definedName>
    <definedName function="false" hidden="false" name="tITIMER" vbProcedure="false">'[1]Calculation Sheet'!$D$17</definedName>
    <definedName function="false" hidden="false" name="tLDSTRT" vbProcedure="false">'[1]Calculation Sheet'!$D$22</definedName>
    <definedName function="false" hidden="false" name="tRETRY_DLY" vbProcedure="false">'[1]Calculation Sheet'!$D$19</definedName>
    <definedName function="false" hidden="false" name="UVref" vbProcedure="false">'Calculation Sheet'!$D$125</definedName>
    <definedName function="false" hidden="false" name="Uvref_fall" vbProcedure="false">'Calculation Sheet'!$D$140</definedName>
    <definedName function="false" hidden="false" name="Uvref_rise" vbProcedure="false">'Calculation Sheet'!$D$139</definedName>
    <definedName function="false" hidden="false" name="UVset" vbProcedure="false">'Calculation Sheet'!$D$8</definedName>
    <definedName function="false" hidden="false" name="Vcc_max" vbProcedure="false">'Calculation Sheet'!$D$14</definedName>
    <definedName function="false" hidden="false" name="Vcc_nom" vbProcedure="false">'Calculation Sheet'!$D$6</definedName>
    <definedName function="false" hidden="false" name="Vimon_max" vbProcedure="false">'[1]Calculation Sheet'!$D$24</definedName>
    <definedName function="false" hidden="false" name="VUVP" vbProcedure="false">'Calculation Sheet'!$D$17</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a0393740</author>
    <author>kunalgoel</author>
  </authors>
  <commentList>
    <comment ref="C32" authorId="0">
      <text>
        <r>
          <rPr>
            <sz val="10"/>
            <rFont val="Arial"/>
            <family val="2"/>
          </rPr>
          <t xml:space="preserve">Higher value will limit the input current drawn from source</t>
        </r>
      </text>
    </comment>
    <comment ref="C44" authorId="1">
      <text>
        <r>
          <rPr>
            <sz val="10"/>
            <rFont val="Arial"/>
            <family val="2"/>
          </rPr>
          <t xml:space="preserve">kunalgoel:
</t>
        </r>
        <r>
          <rPr>
            <sz val="9"/>
            <color rgb="FF000000"/>
            <rFont val="Tahoma"/>
            <family val="2"/>
            <charset val="1"/>
          </rPr>
          <t xml:space="preserve">Higher value will limit the leakage current draw from supply</t>
        </r>
      </text>
    </comment>
    <comment ref="D32" authorId="1">
      <text>
        <r>
          <rPr>
            <sz val="10"/>
            <rFont val="Arial"/>
            <family val="2"/>
          </rPr>
          <t xml:space="preserve">
For supply voltages greater than 5V or systems which can
be exposed to reverse polarity on input supply, it is recommended to use a pull-up resistor with a minimum value of 350 kΩ.</t>
        </r>
      </text>
    </comment>
    <comment ref="D44" authorId="1">
      <text>
        <r>
          <rPr>
            <sz val="10"/>
            <rFont val="Arial"/>
            <family val="2"/>
          </rPr>
          <t xml:space="preserve">kunalgoel:
</t>
        </r>
        <r>
          <rPr>
            <sz val="9"/>
            <color rgb="FF000000"/>
            <rFont val="Tahoma"/>
            <family val="2"/>
            <charset val="1"/>
          </rPr>
          <t xml:space="preserve">For supply voltages greater than 5V or systems which can
be exposed to reverse polarity on input supply, it is recommended to use a pull-up resistor with a minimum value of 350 kΩ.</t>
        </r>
      </text>
    </comment>
    <comment ref="D61" authorId="1">
      <text>
        <r>
          <rPr>
            <sz val="10"/>
            <rFont val="Arial"/>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G19" authorId="1">
      <text>
        <r>
          <rPr>
            <sz val="10"/>
            <rFont val="Arial"/>
            <family val="2"/>
          </rPr>
          <t xml:space="preserve">kunalgoel:
</t>
        </r>
        <r>
          <rPr>
            <sz val="9"/>
            <color rgb="FF000000"/>
            <rFont val="Tahoma"/>
            <family val="2"/>
            <charset val="1"/>
          </rPr>
          <t xml:space="preserve">Min Rlstart allowed</t>
        </r>
      </text>
    </comment>
    <comment ref="I93" authorId="1">
      <text>
        <r>
          <rPr>
            <sz val="10"/>
            <rFont val="Arial"/>
            <family val="2"/>
          </rPr>
          <t xml:space="preserve">kunalgoel:
</t>
        </r>
        <r>
          <rPr>
            <sz val="9"/>
            <color rgb="FF000000"/>
            <rFont val="Tahoma"/>
            <family val="2"/>
            <charset val="1"/>
          </rPr>
          <t xml:space="preserve">time for vin-vout falling to 5.6 from vin</t>
        </r>
      </text>
    </comment>
    <comment ref="Z90" authorId="1">
      <text>
        <r>
          <rPr>
            <sz val="10"/>
            <rFont val="Arial"/>
            <family val="2"/>
          </rPr>
          <t xml:space="preserve">kunalgoel:
</t>
        </r>
        <r>
          <rPr>
            <sz val="9"/>
            <color rgb="FF000000"/>
            <rFont val="Tahoma"/>
            <family val="2"/>
            <charset val="1"/>
          </rPr>
          <t xml:space="preserve">85C for time vds&lt;5.6</t>
        </r>
      </text>
    </comment>
    <comment ref="Z91" authorId="1">
      <text>
        <r>
          <rPr>
            <sz val="10"/>
            <rFont val="Arial"/>
            <family val="2"/>
          </rPr>
          <t xml:space="preserve">kunalgoel:
</t>
        </r>
        <r>
          <rPr>
            <sz val="9"/>
            <color rgb="FF000000"/>
            <rFont val="Tahoma"/>
            <family val="2"/>
            <charset val="1"/>
          </rPr>
          <t xml:space="preserve">25</t>
        </r>
      </text>
    </comment>
    <comment ref="Z93" authorId="1">
      <text>
        <r>
          <rPr>
            <sz val="10"/>
            <rFont val="Arial"/>
            <family val="2"/>
          </rPr>
          <t xml:space="preserve">kunalgoel:
</t>
        </r>
        <r>
          <rPr>
            <sz val="9"/>
            <color rgb="FF000000"/>
            <rFont val="Tahoma"/>
            <family val="2"/>
            <charset val="1"/>
          </rPr>
          <t xml:space="preserve">125</t>
        </r>
      </text>
    </comment>
    <comment ref="Z94" authorId="1">
      <text>
        <r>
          <rPr>
            <sz val="10"/>
            <rFont val="Arial"/>
            <family val="2"/>
          </rPr>
          <t xml:space="preserve">kunalgoel:
</t>
        </r>
        <r>
          <rPr>
            <sz val="9"/>
            <color rgb="FF000000"/>
            <rFont val="Tahoma"/>
            <family val="2"/>
            <charset val="1"/>
          </rPr>
          <t xml:space="preserve">for time vds&gt;5.6</t>
        </r>
      </text>
    </comment>
    <comment ref="Z98" authorId="1">
      <text>
        <r>
          <rPr>
            <sz val="10"/>
            <rFont val="Arial"/>
            <family val="2"/>
          </rPr>
          <t xml:space="preserve">kunalgoel:
</t>
        </r>
        <r>
          <rPr>
            <sz val="9"/>
            <color rgb="FF000000"/>
            <rFont val="Tahoma"/>
            <family val="2"/>
            <charset val="1"/>
          </rPr>
          <t xml:space="preserve">85C for time vds&lt;5.6</t>
        </r>
      </text>
    </comment>
    <comment ref="Z99" authorId="1">
      <text>
        <r>
          <rPr>
            <sz val="10"/>
            <rFont val="Arial"/>
            <family val="2"/>
          </rPr>
          <t xml:space="preserve">kunalgoel:
</t>
        </r>
        <r>
          <rPr>
            <sz val="9"/>
            <color rgb="FF000000"/>
            <rFont val="Tahoma"/>
            <family val="2"/>
            <charset val="1"/>
          </rPr>
          <t xml:space="preserve">25</t>
        </r>
      </text>
    </comment>
    <comment ref="Z100" authorId="1">
      <text>
        <r>
          <rPr>
            <sz val="10"/>
            <rFont val="Arial"/>
            <family val="2"/>
          </rPr>
          <t xml:space="preserve">kunalgoel:
</t>
        </r>
        <r>
          <rPr>
            <sz val="9"/>
            <color rgb="FF000000"/>
            <rFont val="Tahoma"/>
            <family val="2"/>
            <charset val="1"/>
          </rPr>
          <t xml:space="preserve">for time vds&gt;5.6</t>
        </r>
      </text>
    </comment>
    <comment ref="AA96" authorId="1">
      <text>
        <r>
          <rPr>
            <sz val="10"/>
            <rFont val="Arial"/>
            <family val="2"/>
          </rPr>
          <t xml:space="preserve">kunalgoel:
</t>
        </r>
        <r>
          <rPr>
            <sz val="9"/>
            <color rgb="FF000000"/>
            <rFont val="Tahoma"/>
            <family val="0"/>
            <charset val="1"/>
          </rPr>
          <t xml:space="preserve">85c</t>
        </r>
      </text>
    </comment>
    <comment ref="AA97" authorId="1">
      <text>
        <r>
          <rPr>
            <sz val="10"/>
            <rFont val="Arial"/>
            <family val="2"/>
          </rPr>
          <t xml:space="preserve">kunalgoel:
</t>
        </r>
        <r>
          <rPr>
            <sz val="9"/>
            <color rgb="FF000000"/>
            <rFont val="Tahoma"/>
            <family val="0"/>
            <charset val="1"/>
          </rPr>
          <t xml:space="preserve">85c</t>
        </r>
      </text>
    </comment>
    <comment ref="AA98" authorId="1">
      <text>
        <r>
          <rPr>
            <sz val="10"/>
            <rFont val="Arial"/>
            <family val="2"/>
          </rPr>
          <t xml:space="preserve">kunalgoel:
</t>
        </r>
        <r>
          <rPr>
            <sz val="9"/>
            <color rgb="FF000000"/>
            <rFont val="Tahoma"/>
            <family val="0"/>
            <charset val="1"/>
          </rPr>
          <t xml:space="preserve">25c</t>
        </r>
      </text>
    </comment>
    <comment ref="AA99" authorId="1">
      <text>
        <r>
          <rPr>
            <sz val="10"/>
            <rFont val="Arial"/>
            <family val="2"/>
          </rPr>
          <t xml:space="preserve">kunalgoel:
</t>
        </r>
        <r>
          <rPr>
            <sz val="9"/>
            <color rgb="FF000000"/>
            <rFont val="Tahoma"/>
            <family val="0"/>
            <charset val="1"/>
          </rPr>
          <t xml:space="preserve">125</t>
        </r>
      </text>
    </comment>
    <comment ref="AB93" authorId="1">
      <text>
        <r>
          <rPr>
            <sz val="10"/>
            <rFont val="Arial"/>
            <family val="2"/>
          </rPr>
          <t xml:space="preserve">kunalgoel:
</t>
        </r>
        <r>
          <rPr>
            <sz val="9"/>
            <color rgb="FF000000"/>
            <rFont val="Tahoma"/>
            <family val="2"/>
            <charset val="1"/>
          </rPr>
          <t xml:space="preserve">actual energy for time vds&gt;5.6</t>
        </r>
      </text>
    </comment>
    <comment ref="AF96" authorId="1">
      <text>
        <r>
          <rPr>
            <sz val="10"/>
            <rFont val="Arial"/>
            <family val="2"/>
          </rPr>
          <t xml:space="preserve">kunalgoel:
</t>
        </r>
        <r>
          <rPr>
            <sz val="9"/>
            <color rgb="FF000000"/>
            <rFont val="Tahoma"/>
            <family val="0"/>
            <charset val="1"/>
          </rPr>
          <t xml:space="preserve">25c</t>
        </r>
      </text>
    </comment>
    <comment ref="AL96" authorId="1">
      <text>
        <r>
          <rPr>
            <sz val="10"/>
            <rFont val="Arial"/>
            <family val="2"/>
          </rPr>
          <t xml:space="preserve">kunalgoel:
</t>
        </r>
        <r>
          <rPr>
            <sz val="9"/>
            <color rgb="FF000000"/>
            <rFont val="Tahoma"/>
            <family val="0"/>
            <charset val="1"/>
          </rPr>
          <t xml:space="preserve">125c
</t>
        </r>
      </text>
    </comment>
  </commentList>
</comments>
</file>

<file path=xl/sharedStrings.xml><?xml version="1.0" encoding="utf-8"?>
<sst xmlns="http://schemas.openxmlformats.org/spreadsheetml/2006/main" count="361" uniqueCount="244">
  <si>
    <t xml:space="preserve">TPS25947xx Design Calculation Tool</t>
  </si>
  <si>
    <t xml:space="preserve">Table - 1: Device Comparison Table</t>
  </si>
  <si>
    <t xml:space="preserve">Constants Cells</t>
  </si>
  <si>
    <t xml:space="preserve">Part number</t>
  </si>
  <si>
    <t xml:space="preserve">Overvoltage Response</t>
  </si>
  <si>
    <t xml:space="preserve">Overcurrent response</t>
  </si>
  <si>
    <t xml:space="preserve">AUXOFF or PG</t>
  </si>
  <si>
    <t xml:space="preserve">FLT or PGTH</t>
  </si>
  <si>
    <t xml:space="preserve">Response to Thermal Shutdown (TSD)</t>
  </si>
  <si>
    <t xml:space="preserve">Input/SelectCells</t>
  </si>
  <si>
    <t xml:space="preserve">TPS259470A</t>
  </si>
  <si>
    <t xml:space="preserve">Adjustable OVLO</t>
  </si>
  <si>
    <t xml:space="preserve">Active Current Limit</t>
  </si>
  <si>
    <t xml:space="preserve">AUXOFF</t>
  </si>
  <si>
    <t xml:space="preserve">FLT</t>
  </si>
  <si>
    <t xml:space="preserve">Auto-Retry</t>
  </si>
  <si>
    <t xml:space="preserve">Short</t>
  </si>
  <si>
    <t xml:space="preserve">Open</t>
  </si>
  <si>
    <t xml:space="preserve">Calculation Cells</t>
  </si>
  <si>
    <t xml:space="preserve">TPS259470L</t>
  </si>
  <si>
    <t xml:space="preserve">Latch-off</t>
  </si>
  <si>
    <t xml:space="preserve">Calculated, but can be over-ridden by user</t>
  </si>
  <si>
    <t xml:space="preserve">TPS259472A</t>
  </si>
  <si>
    <t xml:space="preserve">Pin Selectable OVC (3.8 V/5.7 V/13.8 V)</t>
  </si>
  <si>
    <t xml:space="preserve">PG</t>
  </si>
  <si>
    <t xml:space="preserve">PGTH</t>
  </si>
  <si>
    <t xml:space="preserve">Error Cells, Must be Fixed</t>
  </si>
  <si>
    <t xml:space="preserve">TPS259472L</t>
  </si>
  <si>
    <t xml:space="preserve">Pin Selectable OVC(3.8 V/5.7 V/13.8 V)</t>
  </si>
  <si>
    <t xml:space="preserve">TPS259474A</t>
  </si>
  <si>
    <t xml:space="preserve">Circuit Breaker</t>
  </si>
  <si>
    <t xml:space="preserve">Auto-retry</t>
  </si>
  <si>
    <t xml:space="preserve">Parameter</t>
  </si>
  <si>
    <t xml:space="preserve">Description</t>
  </si>
  <si>
    <t xml:space="preserve">Value </t>
  </si>
  <si>
    <t xml:space="preserve"> Units</t>
  </si>
  <si>
    <t xml:space="preserve">Tolerance</t>
  </si>
  <si>
    <t xml:space="preserve">Recommended Value</t>
  </si>
  <si>
    <t xml:space="preserve">TPS259474L</t>
  </si>
  <si>
    <t xml:space="preserve">Select Device</t>
  </si>
  <si>
    <t xml:space="preserve">Refer to Table-1 on top right side  and select based on OverVoltage Clamp/Lockout,Overcurrent response and Latch-off/Auto-retry requirement</t>
  </si>
  <si>
    <t xml:space="preserve">VIN (max)</t>
  </si>
  <si>
    <t xml:space="preserve">Maximum Operating input voltage (magnitude)</t>
  </si>
  <si>
    <t xml:space="preserve">V</t>
  </si>
  <si>
    <r>
      <rPr>
        <sz val="11"/>
        <color theme="1"/>
        <rFont val="Calibri"/>
        <family val="2"/>
        <charset val="1"/>
      </rPr>
      <t xml:space="preserve">V</t>
    </r>
    <r>
      <rPr>
        <vertAlign val="subscript"/>
        <sz val="11"/>
        <color theme="1"/>
        <rFont val="Calibri"/>
        <family val="2"/>
        <charset val="1"/>
      </rPr>
      <t xml:space="preserve">CLAMP</t>
    </r>
  </si>
  <si>
    <t xml:space="preserve">Desired Over Voltage Clamp </t>
  </si>
  <si>
    <t xml:space="preserve">VIN (max) Selected</t>
  </si>
  <si>
    <t xml:space="preserve">Maximum Operating input voltage selected from D6 and D7</t>
  </si>
  <si>
    <t xml:space="preserve">OVLO Set Point</t>
  </si>
  <si>
    <t xml:space="preserve">Desired Over Voltage Lockout Set Point</t>
  </si>
  <si>
    <t xml:space="preserve">UVLO Set Point</t>
  </si>
  <si>
    <t xml:space="preserve">Desired Undervoltage Threshold (VIN Rising)</t>
  </si>
  <si>
    <r>
      <rPr>
        <sz val="11"/>
        <color theme="1"/>
        <rFont val="Calibri"/>
        <family val="2"/>
        <charset val="1"/>
      </rPr>
      <t xml:space="preserve">V</t>
    </r>
    <r>
      <rPr>
        <vertAlign val="subscript"/>
        <sz val="11"/>
        <color theme="1"/>
        <rFont val="Calibri"/>
        <family val="2"/>
        <charset val="1"/>
      </rPr>
      <t xml:space="preserve">UVP</t>
    </r>
  </si>
  <si>
    <t xml:space="preserve">Internal Undervoltage Protection Threshold (VIN Rising)</t>
  </si>
  <si>
    <t xml:space="preserve">Cout</t>
  </si>
  <si>
    <t xml:space="preserve">Load Capacitance</t>
  </si>
  <si>
    <t xml:space="preserve">uF</t>
  </si>
  <si>
    <t xml:space="preserve">Rlstart</t>
  </si>
  <si>
    <t xml:space="preserve">Load at startup</t>
  </si>
  <si>
    <t xml:space="preserve">Ohm</t>
  </si>
  <si>
    <t xml:space="preserve">Load turn on voltage</t>
  </si>
  <si>
    <t xml:space="preserve">Output voltage at which startup load will start drawing current</t>
  </si>
  <si>
    <t xml:space="preserve">Imax</t>
  </si>
  <si>
    <t xml:space="preserve">Maximum continuous load current (magnitude)</t>
  </si>
  <si>
    <t xml:space="preserve">A</t>
  </si>
  <si>
    <t xml:space="preserve">Ilimit</t>
  </si>
  <si>
    <t xml:space="preserve">Current Limit, 10.5% higher than maximum continuous load current</t>
  </si>
  <si>
    <t xml:space="preserve">tITIMER</t>
  </si>
  <si>
    <t xml:space="preserve">Load transient blanking interval</t>
  </si>
  <si>
    <t xml:space="preserve">ms</t>
  </si>
  <si>
    <r>
      <rPr>
        <sz val="11"/>
        <color theme="1"/>
        <rFont val="Calibri"/>
        <family val="2"/>
        <charset val="1"/>
      </rPr>
      <t xml:space="preserve">T</t>
    </r>
    <r>
      <rPr>
        <vertAlign val="subscript"/>
        <sz val="11"/>
        <color theme="1"/>
        <rFont val="Calibri"/>
        <family val="2"/>
        <charset val="1"/>
      </rPr>
      <t xml:space="preserve">A, MAX</t>
    </r>
  </si>
  <si>
    <t xml:space="preserve">Maximum Operating Ambient temperature</t>
  </si>
  <si>
    <t xml:space="preserve">°C</t>
  </si>
  <si>
    <r>
      <rPr>
        <i val="true"/>
        <sz val="16"/>
        <rFont val="Calibri"/>
        <family val="2"/>
        <charset val="1"/>
      </rPr>
      <t xml:space="preserve">OVC set point calculations </t>
    </r>
    <r>
      <rPr>
        <b val="true"/>
        <i val="true"/>
        <sz val="16"/>
        <rFont val="Calibri"/>
        <family val="2"/>
        <charset val="1"/>
      </rPr>
      <t xml:space="preserve">(TPS259472x)</t>
    </r>
  </si>
  <si>
    <r>
      <rPr>
        <sz val="11"/>
        <color theme="1"/>
        <rFont val="Calibri"/>
        <family val="2"/>
        <charset val="1"/>
      </rPr>
      <t xml:space="preserve">V</t>
    </r>
    <r>
      <rPr>
        <vertAlign val="subscript"/>
        <sz val="11"/>
        <color theme="1"/>
        <rFont val="Calibri"/>
        <family val="2"/>
        <charset val="1"/>
      </rPr>
      <t xml:space="preserve">OVC</t>
    </r>
  </si>
  <si>
    <t xml:space="preserve">Over Voltage Clamp</t>
  </si>
  <si>
    <t xml:space="preserve">R_OVCSEL</t>
  </si>
  <si>
    <t xml:space="preserve">Calculated value of Resistor at OVCSEL pin</t>
  </si>
  <si>
    <t xml:space="preserve">kOhm</t>
  </si>
  <si>
    <r>
      <rPr>
        <i val="true"/>
        <sz val="16"/>
        <rFont val="Calibri"/>
        <family val="2"/>
        <charset val="1"/>
      </rPr>
      <t xml:space="preserve">UVLO set point calculations </t>
    </r>
    <r>
      <rPr>
        <b val="true"/>
        <i val="true"/>
        <sz val="16"/>
        <rFont val="Calibri"/>
        <family val="2"/>
        <charset val="1"/>
      </rPr>
      <t xml:space="preserve">(TPS259472x)</t>
    </r>
  </si>
  <si>
    <t xml:space="preserve">R1: Pullup at EN/UVLO Pin</t>
  </si>
  <si>
    <t xml:space="preserve">Value &gt; 350k recommended</t>
  </si>
  <si>
    <t xml:space="preserve">Power Fail 
(VIN Falling)</t>
  </si>
  <si>
    <t xml:space="preserve">R2_cal</t>
  </si>
  <si>
    <t xml:space="preserve">Calculated value of Resistor at EN/UVLO pin</t>
  </si>
  <si>
    <t xml:space="preserve">Release UVLO (VIN Rising)</t>
  </si>
  <si>
    <t xml:space="preserve">SELECT THE VALUE OF RESISTORS AS CLOSEST AVAILABLE VALUE OF R2</t>
  </si>
  <si>
    <t xml:space="preserve">OV Clamp
(VIN Rising)</t>
  </si>
  <si>
    <t xml:space="preserve">R2</t>
  </si>
  <si>
    <t xml:space="preserve">Select the closest possible value as R2_cal</t>
  </si>
  <si>
    <t xml:space="preserve">UV_final_rising</t>
  </si>
  <si>
    <t xml:space="preserve">Undervoltage Threshold (VIN Rising)</t>
  </si>
  <si>
    <t xml:space="preserve">UV_final_falling</t>
  </si>
  <si>
    <t xml:space="preserve">Undervoltage Threshold (VIN Falling)</t>
  </si>
  <si>
    <t xml:space="preserve">I_R12</t>
  </si>
  <si>
    <t xml:space="preserve">Current in R1, R2 Branch</t>
  </si>
  <si>
    <t xml:space="preserve">uA</t>
  </si>
  <si>
    <r>
      <rPr>
        <i val="true"/>
        <sz val="16"/>
        <rFont val="Calibri"/>
        <family val="2"/>
        <charset val="1"/>
      </rPr>
      <t xml:space="preserve">UVLO, OVLO set point calculations </t>
    </r>
    <r>
      <rPr>
        <b val="true"/>
        <i val="true"/>
        <sz val="16"/>
        <rFont val="Calibri"/>
        <family val="2"/>
        <charset val="1"/>
      </rPr>
      <t xml:space="preserve">(TPS259470x and TPS259474x)</t>
    </r>
  </si>
  <si>
    <t xml:space="preserve">R2+R3</t>
  </si>
  <si>
    <t xml:space="preserve">Power Fail (VIN Falling)</t>
  </si>
  <si>
    <t xml:space="preserve">R1: Pullup at EN/OVLO Pin</t>
  </si>
  <si>
    <t xml:space="preserve"> Value &gt; 350K recommended</t>
  </si>
  <si>
    <t xml:space="preserve">Calculated value of Resistor at EN/OVLO pin</t>
  </si>
  <si>
    <t xml:space="preserve">Release OVLO (VIN Falling)</t>
  </si>
  <si>
    <t xml:space="preserve">R3_cal</t>
  </si>
  <si>
    <t xml:space="preserve">OV Cutoff (VIN Rising)</t>
  </si>
  <si>
    <t xml:space="preserve">R3</t>
  </si>
  <si>
    <t xml:space="preserve">SELECT THE VALUE OF RESISTORS AS CLOSEST AVAILABLE VALUE OF R2 &amp; R3</t>
  </si>
  <si>
    <t xml:space="preserve">Select the closest possible value as R3_cal</t>
  </si>
  <si>
    <t xml:space="preserve">OV_final_rising</t>
  </si>
  <si>
    <t xml:space="preserve">Overvoltage Threshold (VIN Rising)</t>
  </si>
  <si>
    <t xml:space="preserve">OV_final_falling</t>
  </si>
  <si>
    <t xml:space="preserve">Overvoltage Threshold (VIN Falling)</t>
  </si>
  <si>
    <t xml:space="preserve">I_R123</t>
  </si>
  <si>
    <t xml:space="preserve">Current in R1, R2 and R3 Branch</t>
  </si>
  <si>
    <r>
      <rPr>
        <i val="true"/>
        <sz val="16"/>
        <rFont val="Calibri"/>
        <family val="2"/>
        <charset val="1"/>
      </rPr>
      <t xml:space="preserve">PGset point calculations</t>
    </r>
    <r>
      <rPr>
        <b val="true"/>
        <i val="true"/>
        <sz val="16"/>
        <rFont val="Calibri"/>
        <family val="2"/>
        <charset val="1"/>
      </rPr>
      <t xml:space="preserve">(TPS259472x and TPS259474x)</t>
    </r>
  </si>
  <si>
    <t xml:space="preserve">Desired PG threshold</t>
  </si>
  <si>
    <t xml:space="preserve">Power good voltage threshold</t>
  </si>
  <si>
    <t xml:space="preserve">R4: Pullup at PGTH pin</t>
  </si>
  <si>
    <t xml:space="preserve">Select a value &gt; 100k to keep I_R45 low</t>
  </si>
  <si>
    <t xml:space="preserve">R5_cal</t>
  </si>
  <si>
    <t xml:space="preserve">Calculated value of Resistor at PGTH pin</t>
  </si>
  <si>
    <t xml:space="preserve">SELECT THE VALUE OF RESISTOR AS CLOSEST AVAILABLE VALUE OF R5</t>
  </si>
  <si>
    <t xml:space="preserve">R5</t>
  </si>
  <si>
    <t xml:space="preserve">Select the closest possible value as R5_cal</t>
  </si>
  <si>
    <t xml:space="preserve">PG_final_rising</t>
  </si>
  <si>
    <t xml:space="preserve">Power Good Threshold (Rising)</t>
  </si>
  <si>
    <t xml:space="preserve">PG_final_falling</t>
  </si>
  <si>
    <t xml:space="preserve">Power Good Threshold (Falling)</t>
  </si>
  <si>
    <t xml:space="preserve">I_R45</t>
  </si>
  <si>
    <t xml:space="preserve">Current in R4, R5 Branch</t>
  </si>
  <si>
    <t xml:space="preserve">Calculations for Ilimit (resistor on ILM Pin)</t>
  </si>
  <si>
    <t xml:space="preserve">Inrush Charging 
Current</t>
  </si>
  <si>
    <t xml:space="preserve">RILM_Cal</t>
  </si>
  <si>
    <t xml:space="preserve">Calculated current limit resistor</t>
  </si>
  <si>
    <t xml:space="preserve">Overload Curr
Limit</t>
  </si>
  <si>
    <t xml:space="preserve">SELECT A ILIMIT RESISTOR WITH THE CLOSEST AVAILABLE VALUE OF Rilm_Cal</t>
  </si>
  <si>
    <t xml:space="preserve">RILM</t>
  </si>
  <si>
    <t xml:space="preserve">Select the closest available value of RLM_cal</t>
  </si>
  <si>
    <t xml:space="preserve">Ilimit_final</t>
  </si>
  <si>
    <t xml:space="preserve">Final current Limit Set Point</t>
  </si>
  <si>
    <t xml:space="preserve">Isc</t>
  </si>
  <si>
    <t xml:space="preserve">Scalable fast  trip threshold</t>
  </si>
  <si>
    <t xml:space="preserve">Calculations for SoftStart control (external cap on dVdt pin)</t>
  </si>
  <si>
    <t xml:space="preserve">I_dVdt</t>
  </si>
  <si>
    <t xml:space="preserve">Internal charging current on dVdt</t>
  </si>
  <si>
    <t xml:space="preserve">Icharge_fastest</t>
  </si>
  <si>
    <r>
      <rPr>
        <sz val="11"/>
        <color theme="1"/>
        <rFont val="Calibri"/>
        <family val="2"/>
        <charset val="1"/>
      </rPr>
      <t xml:space="preserve">Charging current when charging at fastest possible rate
</t>
    </r>
    <r>
      <rPr>
        <sz val="11"/>
        <color rgb="FFFF0000"/>
        <rFont val="Calibri"/>
        <family val="2"/>
        <charset val="1"/>
      </rPr>
      <t xml:space="preserve">If this current is &lt; Ilimit, no capacitor is required at dVdT pin</t>
    </r>
  </si>
  <si>
    <t xml:space="preserve">Tchg_fastest</t>
  </si>
  <si>
    <t xml:space="preserve">when no external capacitor  is connected (max. slew rate)</t>
  </si>
  <si>
    <t xml:space="preserve">Tchg_req</t>
  </si>
  <si>
    <t xml:space="preserve">The charging time required</t>
  </si>
  <si>
    <t xml:space="preserve">Icharge_req</t>
  </si>
  <si>
    <t xml:space="preserve">Charging (inrush) current desired in the system</t>
  </si>
  <si>
    <t xml:space="preserve">Cext_dvdt_cal1</t>
  </si>
  <si>
    <t xml:space="preserve">calculated value of capacitor at dVdT pin for required Tcharge</t>
  </si>
  <si>
    <t xml:space="preserve">pF</t>
  </si>
  <si>
    <t xml:space="preserve">Cext_dvdt_cal2</t>
  </si>
  <si>
    <t xml:space="preserve">calculated value of capacitor at dVdT pin for required Icharge</t>
  </si>
  <si>
    <t xml:space="preserve">SELECT A CAPACITOR WITH THE CLOSEST POSSIBLE VALUE to max(Cext_dvdt_cal1, Cext_dvdt_cal2)</t>
  </si>
  <si>
    <t xml:space="preserve">CdVdT_ext</t>
  </si>
  <si>
    <t xml:space="preserve">The external capacitor connecetd across dVdT pin (OPEN, or &gt;=1nF)</t>
  </si>
  <si>
    <t xml:space="preserve">nf</t>
  </si>
  <si>
    <t xml:space="preserve">Icharge</t>
  </si>
  <si>
    <t xml:space="preserve">Charging Current as per dVdT setting</t>
  </si>
  <si>
    <t xml:space="preserve">mA</t>
  </si>
  <si>
    <t xml:space="preserve">Does Device Enter Current Limit during start-up?</t>
  </si>
  <si>
    <t xml:space="preserve">Tchg_dvdt</t>
  </si>
  <si>
    <t xml:space="preserve">charge time set</t>
  </si>
  <si>
    <t xml:space="preserve">Pd_Cout_startup</t>
  </si>
  <si>
    <t xml:space="preserve">Power dissipation due to load cap at start-up</t>
  </si>
  <si>
    <t xml:space="preserve">W</t>
  </si>
  <si>
    <t xml:space="preserve">Total Power dissipation at Start-up</t>
  </si>
  <si>
    <t xml:space="preserve">actual total energy for time tdvdt</t>
  </si>
  <si>
    <t xml:space="preserve">time to tsd*power</t>
  </si>
  <si>
    <t xml:space="preserve">actual energy for time vds&gt;5.6</t>
  </si>
  <si>
    <t xml:space="preserve">Pd_Rlstart</t>
  </si>
  <si>
    <t xml:space="preserve">Power dissipation due to load resistance at start-up</t>
  </si>
  <si>
    <t xml:space="preserve">Pd_startup</t>
  </si>
  <si>
    <t xml:space="preserve">Total power dissipation at start-up</t>
  </si>
  <si>
    <t xml:space="preserve">                                                                                          Will the system have glitch-free startup?
</t>
  </si>
  <si>
    <t xml:space="preserve">For CdVdt &gt; 10 nF, it's recommended to add a 100-Ω resistor in series with the capacitor on the dVdt pin</t>
  </si>
  <si>
    <t xml:space="preserve">Steady state Voltage drop &amp; Power dissipation</t>
  </si>
  <si>
    <t xml:space="preserve">Vdrop</t>
  </si>
  <si>
    <t xml:space="preserve">Maximum voltage drop across device @ 25 degC</t>
  </si>
  <si>
    <t xml:space="preserve">mV</t>
  </si>
  <si>
    <t xml:space="preserve">Pdiss_Imax</t>
  </si>
  <si>
    <t xml:space="preserve">Steady state power dissipation with Max current @ 25degC </t>
  </si>
  <si>
    <t xml:space="preserve">mW</t>
  </si>
  <si>
    <t xml:space="preserve">Setting Overcurrent Blanking Interval (tITIMER)</t>
  </si>
  <si>
    <t xml:space="preserve">CITIMER_cal</t>
  </si>
  <si>
    <t xml:space="preserve">Calculated Capacitor value at ITIMER pin</t>
  </si>
  <si>
    <t xml:space="preserve">nF</t>
  </si>
  <si>
    <t xml:space="preserve">CITIMER_sel</t>
  </si>
  <si>
    <t xml:space="preserve">Select  Closest value as CITIMER_cal</t>
  </si>
  <si>
    <t xml:space="preserve">tITIMER_final</t>
  </si>
  <si>
    <t xml:space="preserve">Final Load transient blanking interval</t>
  </si>
  <si>
    <t xml:space="preserve">Parameters internal to Device</t>
  </si>
  <si>
    <t xml:space="preserve">Internal FET Parameters</t>
  </si>
  <si>
    <t xml:space="preserve">VIN(Max)</t>
  </si>
  <si>
    <t xml:space="preserve">Maximum input voltage</t>
  </si>
  <si>
    <t xml:space="preserve">ID(max)</t>
  </si>
  <si>
    <t xml:space="preserve">FET drain-source current rating (maximum)</t>
  </si>
  <si>
    <t xml:space="preserve">Rds(on)(typ)</t>
  </si>
  <si>
    <t xml:space="preserve">FET Rds(on) for –40°C ≤ TJ ≤ 125°C </t>
  </si>
  <si>
    <t xml:space="preserve">mOhm</t>
  </si>
  <si>
    <t xml:space="preserve">Thermal Parameters</t>
  </si>
  <si>
    <t xml:space="preserve">Tj(max)</t>
  </si>
  <si>
    <t xml:space="preserve">Deice maximum junction temperature</t>
  </si>
  <si>
    <r>
      <rPr>
        <sz val="10"/>
        <rFont val="Symbol"/>
        <family val="1"/>
        <charset val="2"/>
      </rPr>
      <t xml:space="preserve"></t>
    </r>
    <r>
      <rPr>
        <sz val="11"/>
        <color theme="1"/>
        <rFont val="Calibri"/>
        <family val="2"/>
        <charset val="1"/>
      </rPr>
      <t xml:space="preserve">C</t>
    </r>
  </si>
  <si>
    <r>
      <rPr>
        <sz val="11"/>
        <color theme="1"/>
        <rFont val="Calibri"/>
        <family val="2"/>
        <charset val="1"/>
      </rPr>
      <t xml:space="preserve">R</t>
    </r>
    <r>
      <rPr>
        <sz val="10"/>
        <rFont val="Symbol"/>
        <family val="1"/>
        <charset val="2"/>
      </rPr>
      <t xml:space="preserve"></t>
    </r>
    <r>
      <rPr>
        <sz val="11"/>
        <color theme="1"/>
        <rFont val="Calibri"/>
        <family val="2"/>
        <charset val="1"/>
      </rPr>
      <t xml:space="preserve">JA</t>
    </r>
  </si>
  <si>
    <t xml:space="preserve">Junction to ambient thermal resistance</t>
  </si>
  <si>
    <r>
      <rPr>
        <sz val="10"/>
        <rFont val="Symbol"/>
        <family val="1"/>
        <charset val="2"/>
      </rPr>
      <t xml:space="preserve"></t>
    </r>
    <r>
      <rPr>
        <sz val="11"/>
        <color theme="1"/>
        <rFont val="Calibri"/>
        <family val="2"/>
        <charset val="1"/>
      </rPr>
      <t xml:space="preserve">C/W</t>
    </r>
  </si>
  <si>
    <t xml:space="preserve">Internal References</t>
  </si>
  <si>
    <t xml:space="preserve">UVref</t>
  </si>
  <si>
    <t xml:space="preserve">Internal Undervoltage reference (Falling)</t>
  </si>
  <si>
    <t xml:space="preserve">OVref</t>
  </si>
  <si>
    <t xml:space="preserve">Internal Overvoltage reference (Rising)</t>
  </si>
  <si>
    <t xml:space="preserve">GainIMON</t>
  </si>
  <si>
    <t xml:space="preserve">Current monitor gain</t>
  </si>
  <si>
    <t xml:space="preserve">uA/A</t>
  </si>
  <si>
    <t xml:space="preserve">Internal Power good reference(Rising)</t>
  </si>
  <si>
    <t xml:space="preserve">v</t>
  </si>
  <si>
    <t xml:space="preserve">Standard EIA Decade Resistor Values</t>
  </si>
  <si>
    <t xml:space="preserve">0.5%, 0.25%, 0.1%</t>
  </si>
  <si>
    <t xml:space="preserve">E6</t>
  </si>
  <si>
    <t xml:space="preserve">E12</t>
  </si>
  <si>
    <t xml:space="preserve">E24</t>
  </si>
  <si>
    <t xml:space="preserve">E48</t>
  </si>
  <si>
    <t xml:space="preserve">E96</t>
  </si>
  <si>
    <t xml:space="preserve">E192</t>
  </si>
  <si>
    <t xml:space="preserve">End Values Required for Processing</t>
  </si>
  <si>
    <t xml:space="preserve">Standard Capacitor Values</t>
  </si>
  <si>
    <t xml:space="preserve">µF</t>
  </si>
  <si>
    <t xml:space="preserve">mF</t>
  </si>
  <si>
    <t xml:space="preserve">Temperature(Degree C</t>
  </si>
  <si>
    <t xml:space="preserve">VDS</t>
  </si>
  <si>
    <t xml:space="preserve">IDS</t>
  </si>
  <si>
    <t xml:space="preserve">Time(us)</t>
  </si>
  <si>
    <t xml:space="preserve">TSD Time(in seconds)</t>
  </si>
  <si>
    <t xml:space="preserve">TSD Time (in ms)</t>
  </si>
  <si>
    <t xml:space="preserve">Power(W)</t>
  </si>
  <si>
    <t xml:space="preserve">TSD Time(in milliseconds)</t>
  </si>
  <si>
    <t xml:space="preserve">Temperature(Degree C)</t>
  </si>
</sst>
</file>

<file path=xl/styles.xml><?xml version="1.0" encoding="utf-8"?>
<styleSheet xmlns="http://schemas.openxmlformats.org/spreadsheetml/2006/main">
  <numFmts count="10">
    <numFmt numFmtId="164" formatCode="General"/>
    <numFmt numFmtId="165" formatCode="0.00"/>
    <numFmt numFmtId="166" formatCode="@"/>
    <numFmt numFmtId="167" formatCode="0%"/>
    <numFmt numFmtId="168" formatCode="0.0%"/>
    <numFmt numFmtId="169" formatCode="0.0"/>
    <numFmt numFmtId="170" formatCode="0.000"/>
    <numFmt numFmtId="171" formatCode=";;;"/>
    <numFmt numFmtId="172" formatCode="0.00%"/>
    <numFmt numFmtId="173" formatCode="0"/>
  </numFmts>
  <fonts count="45">
    <font>
      <sz val="11"/>
      <color theme="1"/>
      <name val="Calibri"/>
      <family val="2"/>
      <charset val="1"/>
    </font>
    <font>
      <sz val="10"/>
      <name val="Arial"/>
      <family val="0"/>
    </font>
    <font>
      <sz val="10"/>
      <name val="Arial"/>
      <family val="0"/>
    </font>
    <font>
      <sz val="10"/>
      <name val="Arial"/>
      <family val="0"/>
    </font>
    <font>
      <b val="true"/>
      <sz val="16"/>
      <color rgb="FF0000FF"/>
      <name val="Arial"/>
      <family val="2"/>
      <charset val="1"/>
    </font>
    <font>
      <b val="true"/>
      <sz val="16"/>
      <color theme="1"/>
      <name val="Calibri"/>
      <family val="2"/>
      <charset val="1"/>
    </font>
    <font>
      <sz val="10"/>
      <name val="Arial"/>
      <family val="2"/>
      <charset val="1"/>
    </font>
    <font>
      <b val="true"/>
      <sz val="11"/>
      <color theme="0"/>
      <name val="Calibri"/>
      <family val="2"/>
      <charset val="1"/>
    </font>
    <font>
      <b val="true"/>
      <sz val="11"/>
      <color theme="1"/>
      <name val="Calibri"/>
      <family val="2"/>
      <charset val="1"/>
    </font>
    <font>
      <sz val="11"/>
      <color rgb="FF9C0006"/>
      <name val="Calibri"/>
      <family val="2"/>
      <charset val="1"/>
    </font>
    <font>
      <b val="true"/>
      <sz val="11"/>
      <name val="Calibri"/>
      <family val="2"/>
      <charset val="1"/>
    </font>
    <font>
      <sz val="10"/>
      <color theme="1"/>
      <name val="Calibri"/>
      <family val="2"/>
      <charset val="1"/>
    </font>
    <font>
      <b val="true"/>
      <sz val="16"/>
      <name val="Calibri"/>
      <family val="2"/>
      <charset val="1"/>
    </font>
    <font>
      <sz val="11"/>
      <name val="Calibri"/>
      <family val="2"/>
      <charset val="1"/>
    </font>
    <font>
      <vertAlign val="subscript"/>
      <sz val="11"/>
      <color theme="1"/>
      <name val="Calibri"/>
      <family val="2"/>
      <charset val="1"/>
    </font>
    <font>
      <sz val="12"/>
      <name val="Calibri"/>
      <family val="2"/>
      <charset val="1"/>
    </font>
    <font>
      <sz val="11"/>
      <color theme="0"/>
      <name val="Calibri"/>
      <family val="2"/>
      <charset val="1"/>
    </font>
    <font>
      <sz val="11"/>
      <color rgb="FF006100"/>
      <name val="Calibri"/>
      <family val="2"/>
      <charset val="1"/>
    </font>
    <font>
      <u val="single"/>
      <sz val="11"/>
      <color theme="10"/>
      <name val="Calibri"/>
      <family val="2"/>
      <charset val="1"/>
    </font>
    <font>
      <i val="true"/>
      <sz val="16"/>
      <name val="Calibri"/>
      <family val="2"/>
      <charset val="1"/>
    </font>
    <font>
      <b val="true"/>
      <i val="true"/>
      <sz val="16"/>
      <name val="Calibri"/>
      <family val="2"/>
      <charset val="1"/>
    </font>
    <font>
      <i val="true"/>
      <sz val="11"/>
      <name val="Calibri"/>
      <family val="2"/>
      <charset val="1"/>
    </font>
    <font>
      <sz val="8"/>
      <color theme="1"/>
      <name val="Calibri"/>
      <family val="2"/>
      <charset val="1"/>
    </font>
    <font>
      <sz val="12"/>
      <color theme="1"/>
      <name val="Calibri"/>
      <family val="2"/>
      <charset val="1"/>
    </font>
    <font>
      <b val="true"/>
      <sz val="14"/>
      <color theme="1"/>
      <name val="Calibri"/>
      <family val="2"/>
      <charset val="1"/>
    </font>
    <font>
      <b val="true"/>
      <sz val="14"/>
      <color theme="0"/>
      <name val="Calibri"/>
      <family val="2"/>
      <charset val="1"/>
    </font>
    <font>
      <sz val="12"/>
      <color theme="0"/>
      <name val="Calibri"/>
      <family val="2"/>
      <charset val="1"/>
    </font>
    <font>
      <sz val="14"/>
      <color theme="1"/>
      <name val="Calibri"/>
      <family val="2"/>
      <charset val="1"/>
    </font>
    <font>
      <sz val="14"/>
      <name val="Calibri"/>
      <family val="2"/>
      <charset val="1"/>
    </font>
    <font>
      <sz val="11"/>
      <color rgb="FFFF0000"/>
      <name val="Calibri"/>
      <family val="2"/>
      <charset val="1"/>
    </font>
    <font>
      <b val="true"/>
      <sz val="18"/>
      <color theme="1"/>
      <name val="Calibri"/>
      <family val="2"/>
      <charset val="1"/>
    </font>
    <font>
      <b val="true"/>
      <sz val="20"/>
      <name val="Calibri"/>
      <family val="2"/>
      <charset val="1"/>
    </font>
    <font>
      <b val="true"/>
      <sz val="14"/>
      <name val="Calibri"/>
      <family val="2"/>
      <charset val="1"/>
    </font>
    <font>
      <i val="true"/>
      <sz val="16"/>
      <color theme="1"/>
      <name val="Calibri"/>
      <family val="2"/>
      <charset val="1"/>
    </font>
    <font>
      <sz val="10"/>
      <name val="Symbol"/>
      <family val="1"/>
      <charset val="2"/>
    </font>
    <font>
      <sz val="10"/>
      <name val="Arial"/>
      <family val="2"/>
    </font>
    <font>
      <sz val="9"/>
      <color rgb="FF000000"/>
      <name val="Tahoma"/>
      <family val="2"/>
      <charset val="1"/>
    </font>
    <font>
      <sz val="9"/>
      <color rgb="FF000000"/>
      <name val="Tahoma"/>
      <family val="0"/>
      <charset val="1"/>
    </font>
    <font>
      <b val="true"/>
      <sz val="16"/>
      <color rgb="FF000000"/>
      <name val="Calibri"/>
      <family val="2"/>
    </font>
    <font>
      <sz val="10"/>
      <color rgb="FF000000"/>
      <name val="Calibri"/>
      <family val="2"/>
    </font>
    <font>
      <u val="single"/>
      <sz val="20"/>
      <color theme="10"/>
      <name val="Calibri"/>
      <family val="2"/>
      <charset val="1"/>
    </font>
    <font>
      <b val="true"/>
      <sz val="8"/>
      <color rgb="FF333333"/>
      <name val="Arial"/>
      <family val="2"/>
      <charset val="1"/>
    </font>
    <font>
      <sz val="9"/>
      <color rgb="FF000000"/>
      <name val="Verdana"/>
      <family val="2"/>
      <charset val="1"/>
    </font>
    <font>
      <b val="true"/>
      <sz val="18"/>
      <color rgb="FF000000"/>
      <name val="Calibri"/>
      <family val="2"/>
    </font>
    <font>
      <b val="true"/>
      <sz val="10"/>
      <color rgb="FF000000"/>
      <name val="Calibri"/>
      <family val="2"/>
    </font>
  </fonts>
  <fills count="26">
    <fill>
      <patternFill patternType="none"/>
    </fill>
    <fill>
      <patternFill patternType="gray125"/>
    </fill>
    <fill>
      <patternFill patternType="solid">
        <fgColor rgb="FFFFC7CE"/>
        <bgColor rgb="FFE6B9B8"/>
      </patternFill>
    </fill>
    <fill>
      <patternFill patternType="solid">
        <fgColor rgb="FFC6EFCE"/>
        <bgColor rgb="FFD7E4BD"/>
      </patternFill>
    </fill>
    <fill>
      <patternFill patternType="solid">
        <fgColor rgb="FF00FFFF"/>
        <bgColor rgb="FF80FF7F"/>
      </patternFill>
    </fill>
    <fill>
      <patternFill patternType="solid">
        <fgColor theme="2" tint="-0.1"/>
        <bgColor rgb="FFD9D9D9"/>
      </patternFill>
    </fill>
    <fill>
      <patternFill patternType="solid">
        <fgColor theme="4"/>
        <bgColor rgb="FF4A7EBB"/>
      </patternFill>
    </fill>
    <fill>
      <patternFill patternType="solid">
        <fgColor rgb="FFFFFF99"/>
        <bgColor rgb="FFFFFFCC"/>
      </patternFill>
    </fill>
    <fill>
      <patternFill patternType="solid">
        <fgColor theme="4" tint="0.7999"/>
        <bgColor rgb="FFDAE7F6"/>
      </patternFill>
    </fill>
    <fill>
      <patternFill patternType="solid">
        <fgColor rgb="FF80FF7F"/>
        <bgColor rgb="FF92D050"/>
      </patternFill>
    </fill>
    <fill>
      <patternFill patternType="solid">
        <fgColor theme="0"/>
        <bgColor rgb="FFFFFFCC"/>
      </patternFill>
    </fill>
    <fill>
      <patternFill patternType="solid">
        <fgColor theme="8" tint="0.3999"/>
        <bgColor rgb="FFB9CDE5"/>
      </patternFill>
    </fill>
    <fill>
      <patternFill patternType="solid">
        <fgColor theme="8" tint="0.7999"/>
        <bgColor rgb="FFDAE7F6"/>
      </patternFill>
    </fill>
    <fill>
      <patternFill patternType="solid">
        <fgColor theme="9" tint="0.7999"/>
        <bgColor rgb="FFFFFFCC"/>
      </patternFill>
    </fill>
    <fill>
      <patternFill patternType="solid">
        <fgColor theme="3" tint="0.3999"/>
        <bgColor rgb="FF4F81BD"/>
      </patternFill>
    </fill>
    <fill>
      <patternFill patternType="solid">
        <fgColor rgb="FFDAE7F6"/>
        <bgColor rgb="FFDCE6F2"/>
      </patternFill>
    </fill>
    <fill>
      <patternFill patternType="solid">
        <fgColor rgb="FFFFC000"/>
        <bgColor rgb="FFFFFF00"/>
      </patternFill>
    </fill>
    <fill>
      <patternFill patternType="solid">
        <fgColor rgb="FFFFFF00"/>
        <bgColor rgb="FFFFC000"/>
      </patternFill>
    </fill>
    <fill>
      <patternFill patternType="solid">
        <fgColor theme="3" tint="0.7999"/>
        <bgColor rgb="FFB9CDE5"/>
      </patternFill>
    </fill>
    <fill>
      <patternFill patternType="solid">
        <fgColor theme="5" tint="0.5999"/>
        <bgColor rgb="FFFFC7CE"/>
      </patternFill>
    </fill>
    <fill>
      <patternFill patternType="solid">
        <fgColor theme="2" tint="-0.25"/>
        <bgColor rgb="FFB7B7B7"/>
      </patternFill>
    </fill>
    <fill>
      <patternFill patternType="solid">
        <fgColor theme="6" tint="0.5999"/>
        <bgColor rgb="FFDDD9C3"/>
      </patternFill>
    </fill>
    <fill>
      <patternFill patternType="solid">
        <fgColor theme="7" tint="0.5999"/>
        <bgColor rgb="FFB9CDE5"/>
      </patternFill>
    </fill>
    <fill>
      <patternFill patternType="solid">
        <fgColor theme="4" tint="0.5999"/>
        <bgColor rgb="FFC6D9F1"/>
      </patternFill>
    </fill>
    <fill>
      <patternFill patternType="solid">
        <fgColor rgb="FFFFFFCC"/>
        <bgColor rgb="FFFDEADA"/>
      </patternFill>
    </fill>
    <fill>
      <patternFill patternType="solid">
        <fgColor rgb="FF92D050"/>
        <bgColor rgb="FF98B855"/>
      </patternFill>
    </fill>
  </fills>
  <borders count="27">
    <border diagonalUp="false" diagonalDown="false">
      <left/>
      <right/>
      <top/>
      <bottom/>
      <diagonal/>
    </border>
    <border diagonalUp="false" diagonalDown="false">
      <left style="medium"/>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medium"/>
      <right style="thin"/>
      <top style="medium"/>
      <bottom style="mediu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right style="medium"/>
      <top style="medium"/>
      <bottom style="medium"/>
      <diagonal/>
    </border>
    <border diagonalUp="false" diagonalDown="false">
      <left style="medium"/>
      <right style="thin"/>
      <top/>
      <bottom style="thin"/>
      <diagonal/>
    </border>
    <border diagonalUp="false" diagonalDown="false">
      <left style="thin"/>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medium"/>
      <right style="medium"/>
      <top style="medium"/>
      <bottom style="medium"/>
      <diagonal/>
    </border>
    <border diagonalUp="false" diagonalDown="false">
      <left style="thin"/>
      <right/>
      <top/>
      <bottom/>
      <diagonal/>
    </border>
    <border diagonalUp="false" diagonalDown="false">
      <left/>
      <right style="thin"/>
      <top style="thin"/>
      <bottom style="thin"/>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164" fontId="18" fillId="0" borderId="0" applyFont="true" applyBorder="false" applyAlignment="true" applyProtection="false">
      <alignment horizontal="general" vertical="bottom" textRotation="0" wrapText="false" indent="0" shrinkToFit="false"/>
    </xf>
    <xf numFmtId="164" fontId="9" fillId="2" borderId="0" applyFont="true" applyBorder="false" applyAlignment="true" applyProtection="false">
      <alignment horizontal="general" vertical="bottom" textRotation="0" wrapText="false" indent="0" shrinkToFit="false"/>
    </xf>
    <xf numFmtId="164" fontId="17" fillId="3" borderId="0" applyFont="true" applyBorder="false" applyAlignment="true" applyProtection="false">
      <alignment horizontal="general" vertical="bottom" textRotation="0" wrapText="false" indent="0" shrinkToFit="false"/>
    </xf>
  </cellStyleXfs>
  <cellXfs count="26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center" textRotation="0" wrapText="true" indent="0" shrinkToFit="false"/>
      <protection locked="true" hidden="false"/>
    </xf>
    <xf numFmtId="165" fontId="0" fillId="0" borderId="0" xfId="0" applyFont="true" applyBorder="false" applyAlignment="true" applyProtection="true">
      <alignment horizontal="right" vertical="center" textRotation="0" wrapText="false" indent="1"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left" vertical="center" textRotation="0" wrapText="false" indent="0" shrinkToFit="false"/>
      <protection locked="true" hidden="false"/>
    </xf>
    <xf numFmtId="164" fontId="0" fillId="0" borderId="0" xfId="0" applyFont="true" applyBorder="true" applyAlignment="true" applyProtection="true">
      <alignment horizontal="general" vertical="center" textRotation="0" wrapText="false" indent="0" shrinkToFit="false"/>
      <protection locked="true" hidden="false"/>
    </xf>
    <xf numFmtId="164" fontId="4" fillId="4" borderId="1" xfId="0" applyFont="true" applyBorder="true" applyAlignment="true" applyProtection="true">
      <alignment horizontal="center" vertical="center" textRotation="0" wrapText="false" indent="0" shrinkToFit="false"/>
      <protection locked="true" hidden="false"/>
    </xf>
    <xf numFmtId="164" fontId="4" fillId="0" borderId="0" xfId="0" applyFont="true" applyBorder="true" applyAlignment="true" applyProtection="true">
      <alignment horizontal="left" vertical="center" textRotation="0" wrapText="false" indent="0" shrinkToFit="false"/>
      <protection locked="true" hidden="false"/>
    </xf>
    <xf numFmtId="165" fontId="0" fillId="0" borderId="0" xfId="0" applyFont="true" applyBorder="true" applyAlignment="true" applyProtection="true">
      <alignment horizontal="right" vertical="center" textRotation="0" wrapText="false" indent="1"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5" fillId="0" borderId="2" xfId="0" applyFont="true" applyBorder="true" applyAlignment="true" applyProtection="true">
      <alignment horizontal="center" vertical="center" textRotation="0" wrapText="false" indent="0" shrinkToFit="false"/>
      <protection locked="true" hidden="false"/>
    </xf>
    <xf numFmtId="165" fontId="6" fillId="5" borderId="3" xfId="0" applyFont="true" applyBorder="true" applyAlignment="true" applyProtection="true">
      <alignment horizontal="left" vertical="center" textRotation="0" wrapText="false" indent="0" shrinkToFit="false"/>
      <protection locked="true" hidden="false"/>
    </xf>
    <xf numFmtId="165" fontId="6" fillId="0" borderId="3" xfId="0" applyFont="true" applyBorder="true" applyAlignment="true" applyProtection="true">
      <alignment horizontal="left" vertical="center" textRotation="0" wrapText="false" indent="0" shrinkToFit="false"/>
      <protection locked="true" hidden="false"/>
    </xf>
    <xf numFmtId="164" fontId="7" fillId="6" borderId="3" xfId="0" applyFont="true" applyBorder="true" applyAlignment="true" applyProtection="true">
      <alignment horizontal="center" vertical="center" textRotation="0" wrapText="true" indent="0" shrinkToFit="false"/>
      <protection locked="true" hidden="false"/>
    </xf>
    <xf numFmtId="164" fontId="0" fillId="7" borderId="3"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center" textRotation="0" wrapText="true" indent="0" shrinkToFit="false"/>
      <protection locked="true" hidden="false"/>
    </xf>
    <xf numFmtId="164" fontId="8" fillId="8" borderId="3" xfId="0" applyFont="true" applyBorder="true" applyAlignment="true" applyProtection="true">
      <alignment horizontal="center" vertical="center" textRotation="0" wrapText="false" indent="0" shrinkToFit="false"/>
      <protection locked="true" hidden="false"/>
    </xf>
    <xf numFmtId="164" fontId="0" fillId="8" borderId="3" xfId="0" applyFont="true" applyBorder="true" applyAlignment="true" applyProtection="true">
      <alignment horizontal="center" vertical="center" textRotation="0" wrapText="false" indent="0" shrinkToFit="false"/>
      <protection locked="true" hidden="false"/>
    </xf>
    <xf numFmtId="165" fontId="6" fillId="4" borderId="3" xfId="0" applyFont="true" applyBorder="true" applyAlignment="true" applyProtection="true">
      <alignment horizontal="general" vertical="center" textRotation="0" wrapText="false" indent="0" shrinkToFit="false"/>
      <protection locked="true" hidden="false"/>
    </xf>
    <xf numFmtId="165" fontId="6" fillId="0" borderId="3" xfId="0" applyFont="true" applyBorder="true" applyAlignment="true" applyProtection="true">
      <alignment horizontal="general" vertical="center" textRotation="0" wrapText="false" indent="0" shrinkToFit="false"/>
      <protection locked="true" hidden="false"/>
    </xf>
    <xf numFmtId="164" fontId="0" fillId="9" borderId="3" xfId="0" applyFont="true" applyBorder="true" applyAlignment="true" applyProtection="true">
      <alignment horizontal="general" vertical="center" textRotation="0" wrapText="true" indent="0" shrinkToFit="false"/>
      <protection locked="true" hidden="false"/>
    </xf>
    <xf numFmtId="165" fontId="6" fillId="0" borderId="0" xfId="0" applyFont="true" applyBorder="true" applyAlignment="true" applyProtection="true">
      <alignment horizontal="general" vertical="center" textRotation="0" wrapText="false" indent="0" shrinkToFit="false"/>
      <protection locked="true" hidden="false"/>
    </xf>
    <xf numFmtId="164" fontId="7" fillId="10" borderId="0" xfId="0" applyFont="true" applyBorder="true" applyAlignment="true" applyProtection="true">
      <alignment horizontal="center" vertical="bottom" textRotation="0" wrapText="true" indent="0" shrinkToFit="false"/>
      <protection locked="true" hidden="false"/>
    </xf>
    <xf numFmtId="164" fontId="0" fillId="8" borderId="3" xfId="0" applyFont="true" applyBorder="true" applyAlignment="true" applyProtection="true">
      <alignment horizontal="left" vertical="center" textRotation="0" wrapText="true" indent="0" shrinkToFit="false"/>
      <protection locked="true" hidden="false"/>
    </xf>
    <xf numFmtId="164" fontId="8" fillId="0" borderId="0" xfId="0" applyFont="true" applyBorder="true" applyAlignment="true" applyProtection="true">
      <alignment horizontal="center" vertical="center" textRotation="0" wrapText="false" indent="0" shrinkToFit="false"/>
      <protection locked="true" hidden="false"/>
    </xf>
    <xf numFmtId="164" fontId="9" fillId="2" borderId="3" xfId="21" applyFont="true" applyBorder="true" applyAlignment="true" applyProtection="true">
      <alignment horizontal="general" vertical="center" textRotation="0" wrapText="false" indent="0" shrinkToFit="false"/>
      <protection locked="true" hidden="false"/>
    </xf>
    <xf numFmtId="164" fontId="9" fillId="0" borderId="3" xfId="21" applyFont="true" applyBorder="true" applyAlignment="true" applyProtection="true">
      <alignment horizontal="general" vertical="center" textRotation="0" wrapText="false" indent="0" shrinkToFit="false"/>
      <protection locked="true" hidden="false"/>
    </xf>
    <xf numFmtId="164" fontId="0" fillId="10" borderId="0" xfId="0" applyFont="true" applyBorder="true" applyAlignment="true" applyProtection="true">
      <alignment horizontal="center" vertical="bottom" textRotation="0" wrapText="false" indent="0" shrinkToFit="false"/>
      <protection locked="true" hidden="false"/>
    </xf>
    <xf numFmtId="164" fontId="9" fillId="10" borderId="0" xfId="21" applyFont="true" applyBorder="true" applyAlignment="true" applyProtection="true">
      <alignment horizontal="general" vertical="center" textRotation="0" wrapText="false" indent="0" shrinkToFit="false"/>
      <protection locked="true" hidden="false"/>
    </xf>
    <xf numFmtId="164" fontId="0" fillId="10" borderId="0" xfId="0" applyFont="true" applyBorder="true" applyAlignment="true" applyProtection="true">
      <alignment horizontal="general" vertical="center" textRotation="0" wrapText="true" indent="0" shrinkToFit="false"/>
      <protection locked="true" hidden="false"/>
    </xf>
    <xf numFmtId="165" fontId="0" fillId="10" borderId="0" xfId="0" applyFont="true" applyBorder="true" applyAlignment="true" applyProtection="true">
      <alignment horizontal="right" vertical="center" textRotation="0" wrapText="false" indent="1" shrinkToFit="false"/>
      <protection locked="true" hidden="false"/>
    </xf>
    <xf numFmtId="164" fontId="0" fillId="10" borderId="0" xfId="0" applyFont="true" applyBorder="true" applyAlignment="true" applyProtection="true">
      <alignment horizontal="general" vertical="center" textRotation="0" wrapText="false" indent="0" shrinkToFit="false"/>
      <protection locked="true" hidden="false"/>
    </xf>
    <xf numFmtId="164" fontId="0" fillId="10" borderId="0" xfId="0" applyFont="true" applyBorder="true" applyAlignment="true" applyProtection="true">
      <alignment horizontal="center" vertical="center" textRotation="0" wrapText="false" indent="0" shrinkToFit="false"/>
      <protection locked="true" hidden="false"/>
    </xf>
    <xf numFmtId="165" fontId="6" fillId="10" borderId="0" xfId="0" applyFont="true" applyBorder="true" applyAlignment="true" applyProtection="true">
      <alignment horizontal="general" vertical="center" textRotation="0" wrapText="false" indent="0" shrinkToFit="false"/>
      <protection locked="true" hidden="false"/>
    </xf>
    <xf numFmtId="164" fontId="10" fillId="11" borderId="4" xfId="0" applyFont="true" applyBorder="true" applyAlignment="true" applyProtection="true">
      <alignment horizontal="center" vertical="center" textRotation="0" wrapText="false" indent="0" shrinkToFit="false"/>
      <protection locked="true" hidden="false"/>
    </xf>
    <xf numFmtId="164" fontId="10" fillId="11" borderId="5" xfId="0" applyFont="true" applyBorder="true" applyAlignment="true" applyProtection="true">
      <alignment horizontal="center" vertical="center" textRotation="0" wrapText="true" indent="0" shrinkToFit="false"/>
      <protection locked="true" hidden="false"/>
    </xf>
    <xf numFmtId="165" fontId="10" fillId="11" borderId="5" xfId="0" applyFont="true" applyBorder="true" applyAlignment="true" applyProtection="true">
      <alignment horizontal="center" vertical="center" textRotation="0" wrapText="false" indent="0" shrinkToFit="false"/>
      <protection locked="true" hidden="false"/>
    </xf>
    <xf numFmtId="164" fontId="10" fillId="11" borderId="5" xfId="0" applyFont="true" applyBorder="true" applyAlignment="true" applyProtection="true">
      <alignment horizontal="center" vertical="center" textRotation="0" wrapText="false" indent="0" shrinkToFit="false"/>
      <protection locked="true" hidden="false"/>
    </xf>
    <xf numFmtId="164" fontId="10" fillId="11" borderId="6" xfId="0" applyFont="true" applyBorder="true" applyAlignment="true" applyProtection="true">
      <alignment horizontal="center" vertical="center" textRotation="0" wrapText="false" indent="0" shrinkToFit="false"/>
      <protection locked="true" hidden="false"/>
    </xf>
    <xf numFmtId="165" fontId="10" fillId="11" borderId="7" xfId="0" applyFont="true" applyBorder="true" applyAlignment="true" applyProtection="true">
      <alignment horizontal="center" vertical="top" textRotation="0" wrapText="true" indent="0" shrinkToFit="false"/>
      <protection locked="true" hidden="false"/>
    </xf>
    <xf numFmtId="164" fontId="0" fillId="0" borderId="8" xfId="0" applyFont="true" applyBorder="true" applyAlignment="true" applyProtection="true">
      <alignment horizontal="left" vertical="center" textRotation="0" wrapText="false" indent="0" shrinkToFit="false"/>
      <protection locked="true" hidden="false"/>
    </xf>
    <xf numFmtId="164" fontId="11" fillId="0" borderId="9" xfId="0" applyFont="true" applyBorder="true" applyAlignment="true" applyProtection="true">
      <alignment horizontal="left" vertical="center" textRotation="0" wrapText="true" indent="0" shrinkToFit="false"/>
      <protection locked="true" hidden="false"/>
    </xf>
    <xf numFmtId="166" fontId="12" fillId="7" borderId="9" xfId="0" applyFont="true" applyBorder="true" applyAlignment="true" applyProtection="true">
      <alignment horizontal="general" vertical="center" textRotation="0" wrapText="false" indent="0" shrinkToFit="false"/>
      <protection locked="false" hidden="false"/>
    </xf>
    <xf numFmtId="164" fontId="13" fillId="12" borderId="9" xfId="0" applyFont="true" applyBorder="true" applyAlignment="true" applyProtection="true">
      <alignment horizontal="left" vertical="center" textRotation="0" wrapText="false" indent="0" shrinkToFit="false"/>
      <protection locked="true" hidden="false"/>
    </xf>
    <xf numFmtId="164" fontId="13" fillId="12" borderId="10" xfId="0" applyFont="true" applyBorder="true" applyAlignment="true" applyProtection="true">
      <alignment horizontal="center" vertical="center" textRotation="0" wrapText="false" indent="0" shrinkToFit="false"/>
      <protection locked="true" hidden="false"/>
    </xf>
    <xf numFmtId="164" fontId="0" fillId="0" borderId="11" xfId="0" applyFont="true" applyBorder="tru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left" vertical="center" textRotation="0" wrapText="true" indent="0" shrinkToFit="false"/>
      <protection locked="true" hidden="false"/>
    </xf>
    <xf numFmtId="165" fontId="13" fillId="7" borderId="3" xfId="0" applyFont="true" applyBorder="true" applyAlignment="true" applyProtection="true">
      <alignment horizontal="general" vertical="center" textRotation="0" wrapText="false" indent="0" shrinkToFit="false"/>
      <protection locked="false" hidden="false"/>
    </xf>
    <xf numFmtId="164" fontId="0" fillId="12" borderId="3" xfId="0" applyFont="true" applyBorder="true" applyAlignment="true" applyProtection="true">
      <alignment horizontal="general" vertical="center" textRotation="0" wrapText="false" indent="0" shrinkToFit="false"/>
      <protection locked="true" hidden="false"/>
    </xf>
    <xf numFmtId="168" fontId="0" fillId="12" borderId="12" xfId="19" applyFont="true" applyBorder="true" applyAlignment="true" applyProtection="true">
      <alignment horizontal="center" vertical="center" textRotation="0" wrapText="false" indent="0" shrinkToFit="false"/>
      <protection locked="true" hidden="false"/>
    </xf>
    <xf numFmtId="164" fontId="13" fillId="12" borderId="3" xfId="0" applyFont="true" applyBorder="true" applyAlignment="true" applyProtection="true">
      <alignment horizontal="left" vertical="center" textRotation="0" wrapText="false" indent="0" shrinkToFit="false"/>
      <protection locked="true" hidden="false"/>
    </xf>
    <xf numFmtId="168" fontId="15" fillId="5" borderId="12" xfId="19" applyFont="true" applyBorder="true" applyAlignment="true" applyProtection="true">
      <alignment horizontal="center" vertical="center" textRotation="0" wrapText="false" indent="0" shrinkToFit="false"/>
      <protection locked="true" hidden="false"/>
    </xf>
    <xf numFmtId="165" fontId="0" fillId="7" borderId="0" xfId="0" applyFont="true" applyBorder="true" applyAlignment="true" applyProtection="true">
      <alignment horizontal="general" vertical="center" textRotation="0" wrapText="false" indent="0" shrinkToFit="false"/>
      <protection locked="false" hidden="false"/>
    </xf>
    <xf numFmtId="164" fontId="8" fillId="10" borderId="0" xfId="0" applyFont="true" applyBorder="true" applyAlignment="true" applyProtection="true">
      <alignment horizontal="center" vertical="bottom" textRotation="0" wrapText="false" indent="0" shrinkToFit="false"/>
      <protection locked="true" hidden="false"/>
    </xf>
    <xf numFmtId="164" fontId="0" fillId="0" borderId="3" xfId="0" applyFont="true" applyBorder="true" applyAlignment="true" applyProtection="true">
      <alignment horizontal="left" vertical="center" textRotation="0" wrapText="false" indent="0" shrinkToFit="false"/>
      <protection locked="true" hidden="false"/>
    </xf>
    <xf numFmtId="165" fontId="13" fillId="5" borderId="3" xfId="0" applyFont="true" applyBorder="true" applyAlignment="true" applyProtection="true">
      <alignment horizontal="general" vertical="center" textRotation="0" wrapText="false" indent="0" shrinkToFit="false"/>
      <protection locked="true" hidden="false"/>
    </xf>
    <xf numFmtId="164" fontId="16" fillId="0" borderId="0" xfId="0" applyFont="true" applyBorder="true" applyAlignment="true" applyProtection="true">
      <alignment horizontal="left" vertical="center" textRotation="0" wrapText="false" indent="0" shrinkToFit="false"/>
      <protection locked="true" hidden="false"/>
    </xf>
    <xf numFmtId="164" fontId="17" fillId="10" borderId="0" xfId="22" applyFont="true" applyBorder="true" applyAlignment="true" applyProtection="true">
      <alignment horizontal="center" vertical="bottom" textRotation="0" wrapText="false" indent="0" shrinkToFit="false"/>
      <protection locked="true" hidden="false"/>
    </xf>
    <xf numFmtId="169" fontId="13" fillId="7" borderId="3" xfId="0" applyFont="true" applyBorder="true" applyAlignment="true" applyProtection="true">
      <alignment horizontal="general" vertical="center" textRotation="0" wrapText="false" indent="0" shrinkToFit="false"/>
      <protection locked="false" hidden="false"/>
    </xf>
    <xf numFmtId="168" fontId="0" fillId="7" borderId="12" xfId="19" applyFont="true" applyBorder="true" applyAlignment="true" applyProtection="true">
      <alignment horizontal="center" vertical="center" textRotation="0" wrapText="false" indent="0" shrinkToFit="false"/>
      <protection locked="false" hidden="false"/>
    </xf>
    <xf numFmtId="164" fontId="0" fillId="0" borderId="3" xfId="20" applyFont="true" applyBorder="true" applyAlignment="true" applyProtection="true">
      <alignment horizontal="left" vertical="center" textRotation="0" wrapText="true" indent="0" shrinkToFit="false"/>
      <protection locked="true" hidden="false"/>
    </xf>
    <xf numFmtId="169" fontId="0" fillId="4" borderId="0" xfId="0" applyFont="true" applyBorder="true" applyAlignment="true" applyProtection="true">
      <alignment horizontal="left" vertical="center" textRotation="0" wrapText="false" indent="0" shrinkToFit="false"/>
      <protection locked="true" hidden="false"/>
    </xf>
    <xf numFmtId="164" fontId="0" fillId="7" borderId="3" xfId="0" applyFont="true" applyBorder="true" applyAlignment="true" applyProtection="true">
      <alignment horizontal="general" vertical="center" textRotation="0" wrapText="true" indent="0" shrinkToFit="false"/>
      <protection locked="false" hidden="false"/>
    </xf>
    <xf numFmtId="170" fontId="13" fillId="9" borderId="3" xfId="0" applyFont="true" applyBorder="true" applyAlignment="true" applyProtection="true">
      <alignment horizontal="general" vertical="center" textRotation="0" wrapText="false" indent="0" shrinkToFit="false"/>
      <protection locked="false" hidden="false"/>
    </xf>
    <xf numFmtId="164" fontId="0" fillId="12" borderId="3" xfId="0" applyFont="true" applyBorder="true" applyAlignment="true" applyProtection="true">
      <alignment horizontal="left" vertical="center" textRotation="0" wrapText="false" indent="0" shrinkToFit="false"/>
      <protection locked="true" hidden="false"/>
    </xf>
    <xf numFmtId="164" fontId="0" fillId="0" borderId="13" xfId="0" applyFont="true" applyBorder="true" applyAlignment="true" applyProtection="true">
      <alignment horizontal="left" vertical="center" textRotation="0" wrapText="false" indent="0" shrinkToFit="false"/>
      <protection locked="true" hidden="false"/>
    </xf>
    <xf numFmtId="164" fontId="0" fillId="0" borderId="14" xfId="0" applyFont="true" applyBorder="true" applyAlignment="true" applyProtection="true">
      <alignment horizontal="left" vertical="center" textRotation="0" wrapText="true" indent="0" shrinkToFit="false"/>
      <protection locked="true" hidden="false"/>
    </xf>
    <xf numFmtId="164" fontId="0" fillId="12" borderId="14" xfId="0" applyFont="true" applyBorder="true" applyAlignment="true" applyProtection="true">
      <alignment horizontal="left" vertical="center" textRotation="0" wrapText="false" indent="0" shrinkToFit="false"/>
      <protection locked="true" hidden="false"/>
    </xf>
    <xf numFmtId="168" fontId="0" fillId="12" borderId="15" xfId="19" applyFont="true" applyBorder="true" applyAlignment="true" applyProtection="true">
      <alignment horizontal="center" vertical="center" textRotation="0" wrapText="false" indent="0" shrinkToFit="false"/>
      <protection locked="true" hidden="false"/>
    </xf>
    <xf numFmtId="164" fontId="0" fillId="0" borderId="16" xfId="0" applyFont="true" applyBorder="true" applyAlignment="true" applyProtection="true">
      <alignment horizontal="left" vertical="center" textRotation="0" wrapText="false" indent="0" shrinkToFit="false"/>
      <protection locked="true" hidden="false"/>
    </xf>
    <xf numFmtId="164" fontId="0" fillId="0" borderId="17" xfId="0" applyFont="true" applyBorder="true" applyAlignment="true" applyProtection="true">
      <alignment horizontal="left" vertical="center" textRotation="0" wrapText="true" indent="0" shrinkToFit="false"/>
      <protection locked="true" hidden="false"/>
    </xf>
    <xf numFmtId="165" fontId="13" fillId="7" borderId="17" xfId="0" applyFont="true" applyBorder="true" applyAlignment="true" applyProtection="true">
      <alignment horizontal="general" vertical="center" textRotation="0" wrapText="false" indent="0" shrinkToFit="false"/>
      <protection locked="false" hidden="false"/>
    </xf>
    <xf numFmtId="164" fontId="0" fillId="12" borderId="17" xfId="0" applyFont="true" applyBorder="true" applyAlignment="true" applyProtection="true">
      <alignment horizontal="left" vertical="center" textRotation="0" wrapText="false" indent="0" shrinkToFit="false"/>
      <protection locked="true" hidden="false"/>
    </xf>
    <xf numFmtId="168" fontId="0" fillId="12" borderId="18" xfId="19" applyFont="true" applyBorder="true" applyAlignment="true" applyProtection="true">
      <alignment horizontal="center" vertical="center" textRotation="0" wrapText="false" indent="0" shrinkToFit="false"/>
      <protection locked="true" hidden="false"/>
    </xf>
    <xf numFmtId="164" fontId="19" fillId="11" borderId="19" xfId="0" applyFont="true" applyBorder="true" applyAlignment="true" applyProtection="true">
      <alignment horizontal="left" vertical="center" textRotation="0" wrapText="false" indent="0" shrinkToFit="false"/>
      <protection locked="true" hidden="false"/>
    </xf>
    <xf numFmtId="165" fontId="21" fillId="11" borderId="20" xfId="0" applyFont="true" applyBorder="true" applyAlignment="true" applyProtection="true">
      <alignment horizontal="right" vertical="center" textRotation="0" wrapText="true" indent="1" shrinkToFit="false"/>
      <protection locked="true" hidden="false"/>
    </xf>
    <xf numFmtId="164" fontId="21" fillId="11" borderId="20" xfId="0" applyFont="true" applyBorder="true" applyAlignment="true" applyProtection="true">
      <alignment horizontal="general" vertical="center" textRotation="0" wrapText="true" indent="0" shrinkToFit="false"/>
      <protection locked="true" hidden="false"/>
    </xf>
    <xf numFmtId="164" fontId="21" fillId="11" borderId="21" xfId="0" applyFont="true" applyBorder="true" applyAlignment="true" applyProtection="true">
      <alignment horizontal="center" vertical="center" textRotation="0" wrapText="true" indent="0" shrinkToFit="false"/>
      <protection locked="true" hidden="false"/>
    </xf>
    <xf numFmtId="164" fontId="0" fillId="0" borderId="22" xfId="0" applyFont="true" applyBorder="true" applyAlignment="true" applyProtection="true">
      <alignment horizontal="left" vertical="center" textRotation="0" wrapText="false" indent="0" shrinkToFit="false"/>
      <protection locked="true" hidden="false"/>
    </xf>
    <xf numFmtId="164" fontId="0" fillId="0" borderId="23" xfId="0" applyFont="true" applyBorder="true" applyAlignment="true" applyProtection="true">
      <alignment horizontal="left" vertical="center" textRotation="0" wrapText="true" indent="0" shrinkToFit="false"/>
      <protection locked="true" hidden="false"/>
    </xf>
    <xf numFmtId="165" fontId="13" fillId="5" borderId="23" xfId="0" applyFont="true" applyBorder="true" applyAlignment="true" applyProtection="true">
      <alignment horizontal="right" vertical="center" textRotation="0" wrapText="false" indent="0" shrinkToFit="false"/>
      <protection locked="true" hidden="false"/>
    </xf>
    <xf numFmtId="164" fontId="13" fillId="12" borderId="23" xfId="0" applyFont="true" applyBorder="true" applyAlignment="true" applyProtection="true">
      <alignment horizontal="left" vertical="center" textRotation="0" wrapText="false" indent="0" shrinkToFit="false"/>
      <protection locked="true" hidden="false"/>
    </xf>
    <xf numFmtId="164" fontId="16" fillId="10" borderId="0" xfId="0" applyFont="true" applyBorder="true" applyAlignment="true" applyProtection="true">
      <alignment horizontal="left" vertical="center" textRotation="0" wrapText="false" indent="0" shrinkToFit="false"/>
      <protection locked="true" hidden="false"/>
    </xf>
    <xf numFmtId="164" fontId="13" fillId="4" borderId="17" xfId="0" applyFont="true" applyBorder="true" applyAlignment="true" applyProtection="true">
      <alignment horizontal="right" vertical="center" textRotation="0" wrapText="false" indent="0" shrinkToFit="false"/>
      <protection locked="true" hidden="false"/>
    </xf>
    <xf numFmtId="164" fontId="13" fillId="12" borderId="17" xfId="0" applyFont="true" applyBorder="true" applyAlignment="true" applyProtection="true">
      <alignment horizontal="left" vertical="center" textRotation="0" wrapText="false" indent="0" shrinkToFit="false"/>
      <protection locked="true" hidden="false"/>
    </xf>
    <xf numFmtId="168" fontId="13" fillId="12" borderId="18" xfId="19" applyFont="true" applyBorder="true" applyAlignment="true" applyProtection="true">
      <alignment horizontal="center" vertical="center" textRotation="0" wrapText="false" indent="0" shrinkToFit="false"/>
      <protection locked="true" hidden="false"/>
    </xf>
    <xf numFmtId="164" fontId="19" fillId="11" borderId="4" xfId="0" applyFont="true" applyBorder="true" applyAlignment="true" applyProtection="true">
      <alignment horizontal="left" vertical="center" textRotation="0" wrapText="false" indent="0" shrinkToFit="false"/>
      <protection locked="true" hidden="false"/>
    </xf>
    <xf numFmtId="165" fontId="21" fillId="11" borderId="5" xfId="0" applyFont="true" applyBorder="true" applyAlignment="true" applyProtection="true">
      <alignment horizontal="right" vertical="center" textRotation="0" wrapText="true" indent="1" shrinkToFit="false"/>
      <protection locked="true" hidden="false"/>
    </xf>
    <xf numFmtId="164" fontId="21" fillId="11" borderId="5" xfId="0" applyFont="true" applyBorder="true" applyAlignment="true" applyProtection="true">
      <alignment horizontal="general" vertical="center" textRotation="0" wrapText="true" indent="0" shrinkToFit="false"/>
      <protection locked="true" hidden="false"/>
    </xf>
    <xf numFmtId="164" fontId="21" fillId="11" borderId="6" xfId="0" applyFont="true" applyBorder="true" applyAlignment="true" applyProtection="true">
      <alignment horizontal="center" vertical="center" textRotation="0" wrapText="true" indent="0" shrinkToFit="false"/>
      <protection locked="true" hidden="false"/>
    </xf>
    <xf numFmtId="164" fontId="0" fillId="0" borderId="9" xfId="0" applyFont="true" applyBorder="true" applyAlignment="true" applyProtection="true">
      <alignment horizontal="left" vertical="center" textRotation="0" wrapText="true" indent="0" shrinkToFit="false"/>
      <protection locked="true" hidden="false"/>
    </xf>
    <xf numFmtId="165" fontId="13" fillId="5" borderId="9" xfId="0" applyFont="true" applyBorder="true" applyAlignment="true" applyProtection="true">
      <alignment horizontal="general" vertical="center" textRotation="0" wrapText="true" indent="0" shrinkToFit="false"/>
      <protection locked="true" hidden="false"/>
    </xf>
    <xf numFmtId="164" fontId="13" fillId="12" borderId="9" xfId="0" applyFont="true" applyBorder="true" applyAlignment="true" applyProtection="true">
      <alignment horizontal="general" vertical="center" textRotation="0" wrapText="true" indent="0" shrinkToFit="false"/>
      <protection locked="true" hidden="false"/>
    </xf>
    <xf numFmtId="165" fontId="0" fillId="0" borderId="3" xfId="0" applyFont="true" applyBorder="true" applyAlignment="true" applyProtection="true">
      <alignment horizontal="left" vertical="center" textRotation="0" wrapText="false" indent="0" shrinkToFit="false"/>
      <protection locked="true" hidden="false"/>
    </xf>
    <xf numFmtId="165" fontId="22" fillId="0" borderId="3" xfId="0" applyFont="true" applyBorder="true" applyAlignment="true" applyProtection="true">
      <alignment horizontal="left" vertical="center" textRotation="0" wrapText="false" indent="0" shrinkToFit="false"/>
      <protection locked="true" hidden="false"/>
    </xf>
    <xf numFmtId="169" fontId="13" fillId="4" borderId="3" xfId="0" applyFont="true" applyBorder="true" applyAlignment="true" applyProtection="true">
      <alignment horizontal="general" vertical="center" textRotation="0" wrapText="false" indent="0" shrinkToFit="false"/>
      <protection locked="true" hidden="false"/>
    </xf>
    <xf numFmtId="168" fontId="13" fillId="12" borderId="12" xfId="19" applyFont="true" applyBorder="true" applyAlignment="true" applyProtection="true">
      <alignment horizontal="center" vertical="center" textRotation="0" wrapText="false" indent="0" shrinkToFit="false"/>
      <protection locked="true" hidden="false"/>
    </xf>
    <xf numFmtId="164" fontId="8" fillId="0" borderId="11" xfId="0" applyFont="true" applyBorder="true" applyAlignment="true" applyProtection="true">
      <alignment horizontal="left" vertical="center" textRotation="0" wrapText="false" indent="0" shrinkToFit="false"/>
      <protection locked="true" hidden="false"/>
    </xf>
    <xf numFmtId="165" fontId="15" fillId="12" borderId="3" xfId="0" applyFont="true" applyBorder="true" applyAlignment="true" applyProtection="true">
      <alignment horizontal="right" vertical="center" textRotation="0" wrapText="false" indent="1" shrinkToFit="false"/>
      <protection locked="true" hidden="false"/>
    </xf>
    <xf numFmtId="168" fontId="15" fillId="12" borderId="12" xfId="19" applyFont="true" applyBorder="true" applyAlignment="true" applyProtection="true">
      <alignment horizontal="center" vertical="center" textRotation="0" wrapText="false" indent="0" shrinkToFit="false"/>
      <protection locked="true" hidden="false"/>
    </xf>
    <xf numFmtId="169" fontId="0" fillId="0" borderId="3" xfId="0" applyFont="true" applyBorder="true" applyAlignment="true" applyProtection="true">
      <alignment horizontal="left" vertical="center" textRotation="0" wrapText="false" indent="0" shrinkToFit="false"/>
      <protection locked="true" hidden="false"/>
    </xf>
    <xf numFmtId="165" fontId="13" fillId="9" borderId="3" xfId="0" applyFont="true" applyBorder="true" applyAlignment="true" applyProtection="true">
      <alignment horizontal="general" vertical="center" textRotation="0" wrapText="false" indent="0" shrinkToFit="false"/>
      <protection locked="false" hidden="false"/>
    </xf>
    <xf numFmtId="168" fontId="13" fillId="7" borderId="12" xfId="19" applyFont="true" applyBorder="true" applyAlignment="true" applyProtection="true">
      <alignment horizontal="center" vertical="center" textRotation="0" wrapText="false" indent="0" shrinkToFit="false"/>
      <protection locked="false" hidden="false"/>
    </xf>
    <xf numFmtId="165" fontId="13" fillId="4" borderId="3" xfId="0" applyFont="true" applyBorder="true" applyAlignment="true" applyProtection="true">
      <alignment horizontal="general" vertical="center" textRotation="0" wrapText="false" indent="0" shrinkToFit="false"/>
      <protection locked="true" hidden="false"/>
    </xf>
    <xf numFmtId="168" fontId="13" fillId="5" borderId="12" xfId="19" applyFont="true" applyBorder="true" applyAlignment="true" applyProtection="true">
      <alignment horizontal="center" vertical="center" textRotation="0" wrapText="false" indent="0" shrinkToFit="false"/>
      <protection locked="true" hidden="false"/>
    </xf>
    <xf numFmtId="165" fontId="0" fillId="0" borderId="0" xfId="0" applyFont="true" applyBorder="false" applyAlignment="true" applyProtection="true">
      <alignment horizontal="general" vertical="center" textRotation="0" wrapText="false" indent="0" shrinkToFit="false"/>
      <protection locked="true" hidden="false"/>
    </xf>
    <xf numFmtId="165" fontId="22" fillId="0" borderId="0" xfId="0" applyFont="true" applyBorder="false" applyAlignment="true" applyProtection="true">
      <alignment horizontal="general" vertical="center" textRotation="0" wrapText="true" indent="0" shrinkToFit="false"/>
      <protection locked="true" hidden="false"/>
    </xf>
    <xf numFmtId="164" fontId="23" fillId="0" borderId="14" xfId="0" applyFont="true" applyBorder="true" applyAlignment="true" applyProtection="true">
      <alignment horizontal="left" vertical="center" textRotation="0" wrapText="true" indent="0" shrinkToFit="false"/>
      <protection locked="true" hidden="false"/>
    </xf>
    <xf numFmtId="165" fontId="13" fillId="4" borderId="14" xfId="0" applyFont="true" applyBorder="true" applyAlignment="true" applyProtection="true">
      <alignment horizontal="general" vertical="center" textRotation="0" wrapText="false" indent="0" shrinkToFit="false"/>
      <protection locked="true" hidden="false"/>
    </xf>
    <xf numFmtId="164" fontId="15" fillId="12" borderId="14" xfId="0" applyFont="true" applyBorder="true" applyAlignment="true" applyProtection="true">
      <alignment horizontal="left" vertical="center" textRotation="0" wrapText="false" indent="0" shrinkToFit="false"/>
      <protection locked="true" hidden="false"/>
    </xf>
    <xf numFmtId="168" fontId="15" fillId="5" borderId="15" xfId="19" applyFont="true" applyBorder="true" applyAlignment="true" applyProtection="true">
      <alignment horizontal="center" vertical="center" textRotation="0" wrapText="false" indent="0" shrinkToFit="false"/>
      <protection locked="true" hidden="false"/>
    </xf>
    <xf numFmtId="165" fontId="13" fillId="4" borderId="17" xfId="0" applyFont="true" applyBorder="true" applyAlignment="true" applyProtection="true">
      <alignment horizontal="general" vertical="center" textRotation="0" wrapText="false" indent="0" shrinkToFit="false"/>
      <protection locked="true" hidden="false"/>
    </xf>
    <xf numFmtId="164" fontId="19" fillId="11" borderId="24" xfId="0" applyFont="true" applyBorder="true" applyAlignment="true" applyProtection="true">
      <alignment horizontal="left" vertical="center" textRotation="0" wrapText="false" indent="0" shrinkToFit="false"/>
      <protection locked="true" hidden="false"/>
    </xf>
    <xf numFmtId="164" fontId="16" fillId="0" borderId="0" xfId="0" applyFont="true" applyBorder="true" applyAlignment="true" applyProtection="true">
      <alignment horizontal="left" vertical="center" textRotation="0" wrapText="false" indent="0" shrinkToFit="false"/>
      <protection locked="true" hidden="true"/>
    </xf>
    <xf numFmtId="171" fontId="0" fillId="0" borderId="0" xfId="0" applyFont="true" applyBorder="false" applyAlignment="true" applyProtection="true">
      <alignment horizontal="left" vertical="center" textRotation="0" wrapText="false" indent="0" shrinkToFit="false"/>
      <protection locked="true" hidden="false"/>
    </xf>
    <xf numFmtId="164" fontId="23" fillId="0" borderId="0" xfId="0" applyFont="true" applyBorder="false" applyAlignment="true" applyProtection="true">
      <alignment horizontal="general" vertical="center" textRotation="0" wrapText="false" indent="0" shrinkToFit="false"/>
      <protection locked="true" hidden="false"/>
    </xf>
    <xf numFmtId="164" fontId="23" fillId="0" borderId="0" xfId="0" applyFont="true" applyBorder="false" applyAlignment="true" applyProtection="true">
      <alignment horizontal="center" vertical="center" textRotation="0" wrapText="false" indent="0" shrinkToFit="false"/>
      <protection locked="true" hidden="false"/>
    </xf>
    <xf numFmtId="164" fontId="0" fillId="0" borderId="9" xfId="0" applyFont="true" applyBorder="true" applyAlignment="true" applyProtection="true">
      <alignment horizontal="general" vertical="center" textRotation="0" wrapText="true" indent="0" shrinkToFit="false"/>
      <protection locked="true" hidden="false"/>
    </xf>
    <xf numFmtId="164" fontId="21" fillId="12" borderId="9" xfId="0" applyFont="true" applyBorder="true" applyAlignment="true" applyProtection="true">
      <alignment horizontal="general" vertical="center" textRotation="0" wrapText="true" indent="0" shrinkToFit="false"/>
      <protection locked="true" hidden="false"/>
    </xf>
    <xf numFmtId="164" fontId="21" fillId="12" borderId="10" xfId="0" applyFont="true" applyBorder="true" applyAlignment="true" applyProtection="true">
      <alignment horizontal="center" vertical="center" textRotation="0" wrapText="true" indent="0" shrinkToFit="false"/>
      <protection locked="true" hidden="false"/>
    </xf>
    <xf numFmtId="171" fontId="23" fillId="0" borderId="0" xfId="0" applyFont="true" applyBorder="false" applyAlignment="true" applyProtection="true">
      <alignment horizontal="left" vertical="center" textRotation="0" wrapText="false" indent="0" shrinkToFit="false"/>
      <protection locked="true" hidden="false"/>
    </xf>
    <xf numFmtId="164" fontId="0" fillId="0" borderId="11" xfId="0" applyFont="true" applyBorder="true" applyAlignment="true" applyProtection="true">
      <alignment horizontal="general" vertical="center" textRotation="0" wrapText="false" indent="0" shrinkToFit="false"/>
      <protection locked="true" hidden="false"/>
    </xf>
    <xf numFmtId="165" fontId="13" fillId="5" borderId="3" xfId="0" applyFont="true" applyBorder="true" applyAlignment="true" applyProtection="true">
      <alignment horizontal="general" vertical="center" textRotation="0" wrapText="true" indent="0" shrinkToFit="false"/>
      <protection locked="true" hidden="false"/>
    </xf>
    <xf numFmtId="164" fontId="21" fillId="12" borderId="3" xfId="0" applyFont="true" applyBorder="true" applyAlignment="true" applyProtection="true">
      <alignment horizontal="general" vertical="center" textRotation="0" wrapText="true" indent="0" shrinkToFit="false"/>
      <protection locked="true" hidden="false"/>
    </xf>
    <xf numFmtId="164" fontId="21" fillId="12" borderId="12" xfId="0" applyFont="true" applyBorder="true" applyAlignment="true" applyProtection="true">
      <alignment horizontal="center" vertical="center" textRotation="0" wrapText="true" indent="0" shrinkToFit="false"/>
      <protection locked="true" hidden="false"/>
    </xf>
    <xf numFmtId="165" fontId="22" fillId="0" borderId="3" xfId="0" applyFont="true" applyBorder="true" applyAlignment="true" applyProtection="true">
      <alignment horizontal="left" vertical="center" textRotation="0" wrapText="true" indent="0" shrinkToFit="false"/>
      <protection locked="true" hidden="false"/>
    </xf>
    <xf numFmtId="171" fontId="0" fillId="0" borderId="0" xfId="0" applyFont="true" applyBorder="fals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true"/>
    </xf>
    <xf numFmtId="164" fontId="24" fillId="0" borderId="0" xfId="0" applyFont="true" applyBorder="true" applyAlignment="true" applyProtection="true">
      <alignment horizontal="general" vertical="center" textRotation="0" wrapText="false" indent="0" shrinkToFit="false"/>
      <protection locked="true" hidden="false"/>
    </xf>
    <xf numFmtId="165" fontId="13" fillId="12" borderId="3" xfId="0" applyFont="true" applyBorder="true" applyAlignment="true" applyProtection="true">
      <alignment horizontal="right" vertical="center" textRotation="0" wrapText="false" indent="1" shrinkToFit="false"/>
      <protection locked="true" hidden="false"/>
    </xf>
    <xf numFmtId="172" fontId="0" fillId="9" borderId="3" xfId="0" applyFont="true" applyBorder="true" applyAlignment="true" applyProtection="true">
      <alignment horizontal="center" vertical="center" textRotation="0" wrapText="true" indent="0" shrinkToFit="false"/>
      <protection locked="false" hidden="false"/>
    </xf>
    <xf numFmtId="171" fontId="0" fillId="0" borderId="0" xfId="0" applyFont="true" applyBorder="false" applyAlignment="true" applyProtection="true">
      <alignment horizontal="right" vertical="center" textRotation="0" wrapText="false" indent="0" shrinkToFit="false"/>
      <protection locked="true" hidden="false"/>
    </xf>
    <xf numFmtId="164" fontId="24" fillId="0" borderId="0" xfId="0" applyFont="true" applyBorder="false" applyAlignment="true" applyProtection="true">
      <alignment horizontal="general" vertical="center" textRotation="0" wrapText="false" indent="0" shrinkToFit="false"/>
      <protection locked="true" hidden="false"/>
    </xf>
    <xf numFmtId="164" fontId="25" fillId="0" borderId="0" xfId="0" applyFont="true" applyBorder="true" applyAlignment="true" applyProtection="true">
      <alignment horizontal="left" vertical="center" textRotation="0" wrapText="false" indent="0" shrinkToFit="false"/>
      <protection locked="true" hidden="true"/>
    </xf>
    <xf numFmtId="171" fontId="24" fillId="0" borderId="0" xfId="0" applyFont="true" applyBorder="false" applyAlignment="true" applyProtection="true">
      <alignment horizontal="general" vertical="center" textRotation="0" wrapText="false" indent="0" shrinkToFit="false"/>
      <protection locked="true" hidden="false"/>
    </xf>
    <xf numFmtId="164" fontId="26" fillId="0" borderId="0" xfId="0" applyFont="true" applyBorder="true" applyAlignment="true" applyProtection="true">
      <alignment horizontal="left" vertical="center" textRotation="0" wrapText="false" indent="0" shrinkToFit="false"/>
      <protection locked="true" hidden="true"/>
    </xf>
    <xf numFmtId="171" fontId="0" fillId="0" borderId="0" xfId="0" applyFont="true" applyBorder="false" applyAlignment="true" applyProtection="true">
      <alignment horizontal="general" vertical="center" textRotation="0" wrapText="false" indent="0" shrinkToFit="false"/>
      <protection locked="true" hidden="true"/>
    </xf>
    <xf numFmtId="164" fontId="0" fillId="0" borderId="16" xfId="0" applyFont="true" applyBorder="true" applyAlignment="true" applyProtection="true">
      <alignment horizontal="general" vertical="center" textRotation="0" wrapText="false" indent="0" shrinkToFit="false"/>
      <protection locked="true" hidden="false"/>
    </xf>
    <xf numFmtId="164" fontId="0" fillId="0" borderId="17" xfId="0" applyFont="true" applyBorder="true" applyAlignment="true" applyProtection="true">
      <alignment horizontal="general" vertical="center" textRotation="0" wrapText="true" indent="0" shrinkToFit="false"/>
      <protection locked="true" hidden="false"/>
    </xf>
    <xf numFmtId="164" fontId="24"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9" fillId="11" borderId="24" xfId="0" applyFont="true" applyBorder="true" applyAlignment="true" applyProtection="true">
      <alignment horizontal="general" vertical="center" textRotation="0" wrapText="false" indent="0" shrinkToFit="false"/>
      <protection locked="true" hidden="true"/>
    </xf>
    <xf numFmtId="164" fontId="21" fillId="11" borderId="24" xfId="0" applyFont="true" applyBorder="true" applyAlignment="true" applyProtection="true">
      <alignment horizontal="general" vertical="center" textRotation="0" wrapText="true" indent="0" shrinkToFit="false"/>
      <protection locked="true" hidden="true"/>
    </xf>
    <xf numFmtId="165" fontId="21" fillId="11" borderId="24" xfId="0" applyFont="true" applyBorder="true" applyAlignment="true" applyProtection="true">
      <alignment horizontal="right" vertical="center" textRotation="0" wrapText="true" indent="1" shrinkToFit="false"/>
      <protection locked="true" hidden="true"/>
    </xf>
    <xf numFmtId="164" fontId="21" fillId="11" borderId="24" xfId="0" applyFont="true" applyBorder="true" applyAlignment="true" applyProtection="true">
      <alignment horizontal="center" vertical="center" textRotation="0" wrapText="true" indent="0" shrinkToFit="false"/>
      <protection locked="true" hidden="true"/>
    </xf>
    <xf numFmtId="164" fontId="0" fillId="0" borderId="24" xfId="0" applyFont="true" applyBorder="true" applyAlignment="true" applyProtection="true">
      <alignment horizontal="general" vertical="center" textRotation="0" wrapText="false" indent="0" shrinkToFit="false"/>
      <protection locked="true" hidden="false"/>
    </xf>
    <xf numFmtId="164" fontId="0" fillId="0" borderId="24" xfId="0" applyFont="true" applyBorder="true" applyAlignment="true" applyProtection="true">
      <alignment horizontal="general" vertical="center" textRotation="0" wrapText="true" indent="0" shrinkToFit="false"/>
      <protection locked="true" hidden="false"/>
    </xf>
    <xf numFmtId="165" fontId="13" fillId="7" borderId="24" xfId="0" applyFont="true" applyBorder="true" applyAlignment="true" applyProtection="true">
      <alignment horizontal="general" vertical="center" textRotation="0" wrapText="false" indent="0" shrinkToFit="false"/>
      <protection locked="false" hidden="false"/>
    </xf>
    <xf numFmtId="164" fontId="0" fillId="12" borderId="24" xfId="0" applyFont="true" applyBorder="true" applyAlignment="true" applyProtection="true">
      <alignment horizontal="general" vertical="center" textRotation="0" wrapText="false" indent="0" shrinkToFit="false"/>
      <protection locked="true" hidden="false"/>
    </xf>
    <xf numFmtId="168" fontId="13" fillId="5" borderId="24" xfId="19" applyFont="true" applyBorder="true" applyAlignment="true" applyProtection="true">
      <alignment horizontal="center" vertical="center" textRotation="0" wrapText="false" indent="0" shrinkToFit="false"/>
      <protection locked="true" hidden="false"/>
    </xf>
    <xf numFmtId="164" fontId="0" fillId="10" borderId="24" xfId="0" applyFont="true" applyBorder="true" applyAlignment="true" applyProtection="true">
      <alignment horizontal="general" vertical="center" textRotation="0" wrapText="false" indent="0" shrinkToFit="false"/>
      <protection locked="true" hidden="true"/>
    </xf>
    <xf numFmtId="164" fontId="0" fillId="10" borderId="24" xfId="0" applyFont="true" applyBorder="true" applyAlignment="true" applyProtection="true">
      <alignment horizontal="general" vertical="center" textRotation="0" wrapText="true" indent="0" shrinkToFit="false"/>
      <protection locked="true" hidden="true"/>
    </xf>
    <xf numFmtId="169" fontId="15" fillId="7" borderId="24" xfId="0" applyFont="true" applyBorder="true" applyAlignment="true" applyProtection="true">
      <alignment horizontal="right" vertical="center" textRotation="0" wrapText="false" indent="1" shrinkToFit="false"/>
      <protection locked="false" hidden="false"/>
    </xf>
    <xf numFmtId="164" fontId="0" fillId="12" borderId="24" xfId="0" applyFont="true" applyBorder="true" applyAlignment="true" applyProtection="true">
      <alignment horizontal="general" vertical="center" textRotation="0" wrapText="false" indent="0" shrinkToFit="false"/>
      <protection locked="true" hidden="true"/>
    </xf>
    <xf numFmtId="168" fontId="0" fillId="7" borderId="24" xfId="19" applyFont="true" applyBorder="true" applyAlignment="true" applyProtection="true">
      <alignment horizontal="center" vertical="center" textRotation="0" wrapText="false" indent="0" shrinkToFit="false"/>
      <protection locked="false" hidden="false"/>
    </xf>
    <xf numFmtId="169" fontId="15" fillId="4" borderId="24" xfId="0" applyFont="true" applyBorder="true" applyAlignment="true" applyProtection="true">
      <alignment horizontal="right" vertical="center" textRotation="0" wrapText="false" indent="1" shrinkToFit="false"/>
      <protection locked="true" hidden="false"/>
    </xf>
    <xf numFmtId="164" fontId="13" fillId="12" borderId="24" xfId="0" applyFont="true" applyBorder="true" applyAlignment="true" applyProtection="true">
      <alignment horizontal="left" vertical="center" textRotation="0" wrapText="false" indent="0" shrinkToFit="false"/>
      <protection locked="true" hidden="true"/>
    </xf>
    <xf numFmtId="168" fontId="13" fillId="12" borderId="24" xfId="19" applyFont="true" applyBorder="true" applyAlignment="true" applyProtection="true">
      <alignment horizontal="center" vertical="center" textRotation="0" wrapText="false" indent="0" shrinkToFit="false"/>
      <protection locked="true" hidden="true"/>
    </xf>
    <xf numFmtId="164" fontId="8" fillId="13" borderId="24" xfId="0" applyFont="true" applyBorder="true" applyAlignment="true" applyProtection="true">
      <alignment horizontal="general" vertical="center" textRotation="0" wrapText="false" indent="0" shrinkToFit="false"/>
      <protection locked="true" hidden="true"/>
    </xf>
    <xf numFmtId="164" fontId="8" fillId="13" borderId="24" xfId="0" applyFont="true" applyBorder="true" applyAlignment="true" applyProtection="true">
      <alignment horizontal="general" vertical="center" textRotation="0" wrapText="true" indent="0" shrinkToFit="false"/>
      <protection locked="true" hidden="true"/>
    </xf>
    <xf numFmtId="165" fontId="15" fillId="12" borderId="24" xfId="0" applyFont="true" applyBorder="true" applyAlignment="true" applyProtection="true">
      <alignment horizontal="right" vertical="center" textRotation="0" wrapText="false" indent="1" shrinkToFit="false"/>
      <protection locked="true" hidden="true"/>
    </xf>
    <xf numFmtId="168" fontId="15" fillId="12" borderId="24" xfId="19" applyFont="true" applyBorder="true" applyAlignment="true" applyProtection="true">
      <alignment horizontal="center" vertical="center" textRotation="0" wrapText="false" indent="0" shrinkToFit="false"/>
      <protection locked="true" hidden="true"/>
    </xf>
    <xf numFmtId="165" fontId="15" fillId="9" borderId="24" xfId="0" applyFont="true" applyBorder="true" applyAlignment="true" applyProtection="true">
      <alignment horizontal="right" vertical="center" textRotation="0" wrapText="false" indent="1" shrinkToFit="false"/>
      <protection locked="false" hidden="false"/>
    </xf>
    <xf numFmtId="172" fontId="0" fillId="9" borderId="24" xfId="0" applyFont="true" applyBorder="true" applyAlignment="true" applyProtection="true">
      <alignment horizontal="center" vertical="center" textRotation="0" wrapText="true" indent="0" shrinkToFit="false"/>
      <protection locked="false" hidden="false"/>
    </xf>
    <xf numFmtId="164" fontId="27" fillId="10" borderId="24" xfId="0" applyFont="true" applyBorder="true" applyAlignment="true" applyProtection="true">
      <alignment horizontal="general" vertical="center" textRotation="0" wrapText="false" indent="0" shrinkToFit="false"/>
      <protection locked="true" hidden="true"/>
    </xf>
    <xf numFmtId="164" fontId="27" fillId="10" borderId="24" xfId="0" applyFont="true" applyBorder="true" applyAlignment="true" applyProtection="true">
      <alignment horizontal="general" vertical="center" textRotation="0" wrapText="true" indent="0" shrinkToFit="false"/>
      <protection locked="true" hidden="true"/>
    </xf>
    <xf numFmtId="165" fontId="28" fillId="4" borderId="24" xfId="0" applyFont="true" applyBorder="true" applyAlignment="true" applyProtection="true">
      <alignment horizontal="right" vertical="center" textRotation="0" wrapText="false" indent="1" shrinkToFit="false"/>
      <protection locked="true" hidden="false"/>
    </xf>
    <xf numFmtId="164" fontId="28" fillId="12" borderId="24" xfId="0" applyFont="true" applyBorder="true" applyAlignment="true" applyProtection="true">
      <alignment horizontal="left" vertical="center" textRotation="0" wrapText="false" indent="0" shrinkToFit="false"/>
      <protection locked="true" hidden="false"/>
    </xf>
    <xf numFmtId="164" fontId="23" fillId="10" borderId="24" xfId="0" applyFont="true" applyBorder="true" applyAlignment="true" applyProtection="true">
      <alignment horizontal="general" vertical="center" textRotation="0" wrapText="false" indent="0" shrinkToFit="false"/>
      <protection locked="true" hidden="true"/>
    </xf>
    <xf numFmtId="164" fontId="23" fillId="10" borderId="24" xfId="0" applyFont="true" applyBorder="true" applyAlignment="true" applyProtection="true">
      <alignment horizontal="general" vertical="center" textRotation="0" wrapText="true" indent="0" shrinkToFit="false"/>
      <protection locked="true" hidden="true"/>
    </xf>
    <xf numFmtId="165" fontId="15" fillId="4" borderId="24" xfId="0" applyFont="true" applyBorder="true" applyAlignment="true" applyProtection="true">
      <alignment horizontal="right" vertical="center" textRotation="0" wrapText="false" indent="1" shrinkToFit="false"/>
      <protection locked="true" hidden="false"/>
    </xf>
    <xf numFmtId="164" fontId="15" fillId="12" borderId="24" xfId="0" applyFont="true" applyBorder="true" applyAlignment="true" applyProtection="true">
      <alignment horizontal="left" vertical="center" textRotation="0" wrapText="false" indent="0" shrinkToFit="false"/>
      <protection locked="true" hidden="false"/>
    </xf>
    <xf numFmtId="165" fontId="13" fillId="4" borderId="24" xfId="0" applyFont="true" applyBorder="true" applyAlignment="true" applyProtection="true">
      <alignment horizontal="general" vertical="center" textRotation="0" wrapText="false" indent="0" shrinkToFit="false"/>
      <protection locked="true" hidden="false"/>
    </xf>
    <xf numFmtId="164" fontId="13" fillId="12" borderId="24" xfId="0" applyFont="true" applyBorder="true" applyAlignment="true" applyProtection="true">
      <alignment horizontal="left" vertical="center" textRotation="0" wrapText="false" indent="0" shrinkToFit="false"/>
      <protection locked="true" hidden="false"/>
    </xf>
    <xf numFmtId="164" fontId="19" fillId="11" borderId="24" xfId="0" applyFont="true" applyBorder="true" applyAlignment="true" applyProtection="true">
      <alignment horizontal="left" vertical="center" textRotation="0" wrapText="true" indent="0" shrinkToFit="false"/>
      <protection locked="true" hidden="false"/>
    </xf>
    <xf numFmtId="164" fontId="0" fillId="0" borderId="24" xfId="0" applyFont="true" applyBorder="true" applyAlignment="true" applyProtection="true">
      <alignment horizontal="left" vertical="center" textRotation="0" wrapText="false" indent="0" shrinkToFit="false"/>
      <protection locked="true" hidden="false"/>
    </xf>
    <xf numFmtId="164" fontId="0" fillId="0" borderId="24" xfId="0" applyFont="true" applyBorder="true" applyAlignment="true" applyProtection="true">
      <alignment horizontal="left" vertical="center" textRotation="0" wrapText="true" indent="0" shrinkToFit="false"/>
      <protection locked="true" hidden="false"/>
    </xf>
    <xf numFmtId="168" fontId="0" fillId="12" borderId="24" xfId="19" applyFont="true" applyBorder="true" applyAlignment="true" applyProtection="true">
      <alignment horizontal="center" vertical="center" textRotation="0" wrapText="false" indent="0" shrinkToFit="false"/>
      <protection locked="true" hidden="false"/>
    </xf>
    <xf numFmtId="164" fontId="8" fillId="0" borderId="24" xfId="0" applyFont="true" applyBorder="true" applyAlignment="true" applyProtection="true">
      <alignment horizontal="left" vertical="center" textRotation="0" wrapText="false" indent="0" shrinkToFit="false"/>
      <protection locked="true" hidden="false"/>
    </xf>
    <xf numFmtId="165" fontId="13" fillId="9" borderId="24" xfId="0" applyFont="true" applyBorder="true" applyAlignment="true" applyProtection="true">
      <alignment horizontal="general" vertical="center" textRotation="0" wrapText="false" indent="0" shrinkToFit="false"/>
      <protection locked="false" hidden="false"/>
    </xf>
    <xf numFmtId="171" fontId="0" fillId="0" borderId="0" xfId="0" applyFont="false" applyBorder="false" applyAlignment="true" applyProtection="true">
      <alignment horizontal="general" vertical="bottom" textRotation="0" wrapText="false" indent="0" shrinkToFit="false"/>
      <protection locked="true" hidden="false"/>
    </xf>
    <xf numFmtId="168" fontId="0" fillId="5" borderId="24" xfId="19" applyFont="true" applyBorder="true" applyAlignment="true" applyProtection="true">
      <alignment horizontal="center" vertical="center" textRotation="0" wrapText="false" indent="0" shrinkToFit="false"/>
      <protection locked="true" hidden="false"/>
    </xf>
    <xf numFmtId="164" fontId="16" fillId="14" borderId="8" xfId="0" applyFont="true" applyBorder="true" applyAlignment="true" applyProtection="true">
      <alignment horizontal="center" vertical="center" textRotation="0" wrapText="false" indent="0" shrinkToFit="false"/>
      <protection locked="true" hidden="false"/>
    </xf>
    <xf numFmtId="164" fontId="16" fillId="14" borderId="9" xfId="0" applyFont="true" applyBorder="true" applyAlignment="true" applyProtection="true">
      <alignment horizontal="center" vertical="center" textRotation="0" wrapText="true" indent="0" shrinkToFit="false"/>
      <protection locked="true" hidden="false"/>
    </xf>
    <xf numFmtId="165" fontId="16" fillId="14" borderId="9" xfId="0" applyFont="true" applyBorder="true" applyAlignment="true" applyProtection="true">
      <alignment horizontal="right" vertical="center" textRotation="0" wrapText="false" indent="1" shrinkToFit="false"/>
      <protection locked="true" hidden="false"/>
    </xf>
    <xf numFmtId="164" fontId="16" fillId="14" borderId="9" xfId="0" applyFont="true" applyBorder="true" applyAlignment="true" applyProtection="true">
      <alignment horizontal="left" vertical="center" textRotation="0" wrapText="false" indent="0" shrinkToFit="false"/>
      <protection locked="true" hidden="false"/>
    </xf>
    <xf numFmtId="164" fontId="16" fillId="14" borderId="10" xfId="0" applyFont="true" applyBorder="true" applyAlignment="true" applyProtection="true">
      <alignment horizontal="center" vertical="center" textRotation="0" wrapText="false" indent="0" shrinkToFit="false"/>
      <protection locked="true" hidden="false"/>
    </xf>
    <xf numFmtId="165" fontId="13" fillId="5" borderId="3" xfId="0" applyFont="true" applyBorder="true" applyAlignment="true" applyProtection="true">
      <alignment horizontal="right" vertical="center" textRotation="0" wrapText="false" indent="0" shrinkToFit="false"/>
      <protection locked="true" hidden="false"/>
    </xf>
    <xf numFmtId="165" fontId="13" fillId="7" borderId="3" xfId="0" applyFont="true" applyBorder="true" applyAlignment="true" applyProtection="true">
      <alignment horizontal="right" vertical="center" textRotation="0" wrapText="false" indent="0" shrinkToFit="false"/>
      <protection locked="false" hidden="false"/>
    </xf>
    <xf numFmtId="165" fontId="7" fillId="0" borderId="0" xfId="0" applyFont="true" applyBorder="true" applyAlignment="true" applyProtection="true">
      <alignment horizontal="left" vertical="center" textRotation="0" wrapText="false" indent="0" shrinkToFit="false"/>
      <protection locked="true" hidden="true"/>
    </xf>
    <xf numFmtId="164" fontId="27" fillId="0" borderId="0" xfId="0" applyFont="true" applyBorder="false" applyAlignment="true" applyProtection="true">
      <alignment horizontal="general" vertical="center" textRotation="0" wrapText="false" indent="0" shrinkToFit="false"/>
      <protection locked="true" hidden="false"/>
    </xf>
    <xf numFmtId="165" fontId="0" fillId="4" borderId="3" xfId="0" applyFont="true" applyBorder="true" applyAlignment="true" applyProtection="true">
      <alignment horizontal="right" vertical="center" textRotation="0" wrapText="false" indent="0" shrinkToFit="false"/>
      <protection locked="true" hidden="false"/>
    </xf>
    <xf numFmtId="171" fontId="24" fillId="0" borderId="0" xfId="0" applyFont="true" applyBorder="false" applyAlignment="true" applyProtection="true">
      <alignment horizontal="center" vertical="center" textRotation="0" wrapText="false" indent="0" shrinkToFit="false"/>
      <protection locked="true" hidden="false"/>
    </xf>
    <xf numFmtId="171" fontId="0" fillId="0" borderId="0" xfId="0" applyFont="true" applyBorder="true" applyAlignment="true" applyProtection="true">
      <alignment horizontal="general" vertical="center" textRotation="0" wrapText="false" indent="0" shrinkToFit="false"/>
      <protection locked="true" hidden="false"/>
    </xf>
    <xf numFmtId="165" fontId="16" fillId="0" borderId="0" xfId="0" applyFont="true" applyBorder="true" applyAlignment="true" applyProtection="true">
      <alignment horizontal="left" vertical="center" textRotation="0" wrapText="false" indent="0" shrinkToFit="false"/>
      <protection locked="true" hidden="false"/>
    </xf>
    <xf numFmtId="171" fontId="0" fillId="0" borderId="0" xfId="0" applyFont="true" applyBorder="false" applyAlignment="true" applyProtection="true">
      <alignment horizontal="center" vertical="center" textRotation="0" wrapText="false" indent="0" shrinkToFit="false"/>
      <protection locked="true" hidden="false"/>
    </xf>
    <xf numFmtId="165" fontId="13" fillId="9" borderId="3" xfId="0" applyFont="true" applyBorder="true" applyAlignment="true" applyProtection="true">
      <alignment horizontal="right" vertical="center" textRotation="0" wrapText="false" indent="0" shrinkToFit="false"/>
      <protection locked="false" hidden="false"/>
    </xf>
    <xf numFmtId="165" fontId="13" fillId="4" borderId="3" xfId="0" applyFont="true" applyBorder="true" applyAlignment="true" applyProtection="true">
      <alignment horizontal="right" vertical="center" textRotation="0" wrapText="false" indent="0" shrinkToFit="false"/>
      <protection locked="true" hidden="false"/>
    </xf>
    <xf numFmtId="168" fontId="0" fillId="5" borderId="12" xfId="19" applyFont="true" applyBorder="true" applyAlignment="true" applyProtection="true">
      <alignment horizontal="center" vertical="center" textRotation="0" wrapText="false" indent="0" shrinkToFit="false"/>
      <protection locked="true" hidden="false"/>
    </xf>
    <xf numFmtId="169" fontId="16" fillId="0" borderId="0" xfId="0" applyFont="true" applyBorder="true" applyAlignment="true" applyProtection="true">
      <alignment horizontal="left" vertical="center" textRotation="0" wrapText="false" indent="0" shrinkToFit="false"/>
      <protection locked="true" hidden="false"/>
    </xf>
    <xf numFmtId="165" fontId="10" fillId="4" borderId="3" xfId="0" applyFont="true" applyBorder="true" applyAlignment="true" applyProtection="true">
      <alignment horizontal="center" vertical="center" textRotation="0" wrapText="false" indent="0" shrinkToFit="false"/>
      <protection locked="true" hidden="false"/>
    </xf>
    <xf numFmtId="165" fontId="16" fillId="0" borderId="0" xfId="0" applyFont="true" applyBorder="true" applyAlignment="true" applyProtection="true">
      <alignment horizontal="left" vertical="center" textRotation="0" wrapText="false" indent="0" shrinkToFit="false"/>
      <protection locked="true" hidden="true"/>
    </xf>
    <xf numFmtId="164" fontId="0" fillId="12" borderId="17" xfId="0" applyFont="true" applyBorder="true" applyAlignment="true" applyProtection="true">
      <alignment horizontal="general" vertical="center" textRotation="0" wrapText="false" indent="0" shrinkToFit="false"/>
      <protection locked="true" hidden="false"/>
    </xf>
    <xf numFmtId="164" fontId="0" fillId="0" borderId="8" xfId="0" applyFont="true" applyBorder="true" applyAlignment="true" applyProtection="true">
      <alignment horizontal="general" vertical="center" textRotation="0" wrapText="false" indent="0" shrinkToFit="false"/>
      <protection locked="true" hidden="false"/>
    </xf>
    <xf numFmtId="165" fontId="15" fillId="4" borderId="9" xfId="0" applyFont="true" applyBorder="true" applyAlignment="true" applyProtection="true">
      <alignment horizontal="general" vertical="center" textRotation="0" wrapText="false" indent="0" shrinkToFit="false"/>
      <protection locked="true" hidden="false"/>
    </xf>
    <xf numFmtId="168" fontId="13" fillId="12" borderId="10" xfId="19" applyFont="true" applyBorder="true" applyAlignment="true" applyProtection="true">
      <alignment horizontal="center" vertical="center" textRotation="0" wrapText="false" indent="0" shrinkToFit="false"/>
      <protection locked="true" hidden="false"/>
    </xf>
    <xf numFmtId="164" fontId="0" fillId="10" borderId="0" xfId="0" applyFont="true" applyBorder="false" applyAlignment="true" applyProtection="true">
      <alignment horizontal="general" vertical="center" textRotation="0" wrapText="false" indent="0" shrinkToFit="false"/>
      <protection locked="true" hidden="false"/>
    </xf>
    <xf numFmtId="171" fontId="0" fillId="10" borderId="0" xfId="0" applyFont="true" applyBorder="false" applyAlignment="true" applyProtection="true">
      <alignment horizontal="center" vertical="center" textRotation="0" wrapText="false" indent="0" shrinkToFit="false"/>
      <protection locked="true" hidden="false"/>
    </xf>
    <xf numFmtId="165" fontId="15" fillId="4" borderId="3" xfId="0" applyFont="true" applyBorder="true" applyAlignment="true" applyProtection="true">
      <alignment horizontal="general" vertical="center" textRotation="0" wrapText="false" indent="0" shrinkToFit="false"/>
      <protection locked="true" hidden="false"/>
    </xf>
    <xf numFmtId="164" fontId="0" fillId="15" borderId="3" xfId="0" applyFont="true" applyBorder="true" applyAlignment="true" applyProtection="true">
      <alignment horizontal="general" vertical="center" textRotation="0" wrapText="false" indent="0" shrinkToFit="false"/>
      <protection locked="true" hidden="false"/>
    </xf>
    <xf numFmtId="164" fontId="30" fillId="15" borderId="3" xfId="0" applyFont="true" applyBorder="true" applyAlignment="true" applyProtection="true">
      <alignment horizontal="general" vertical="center" textRotation="0" wrapText="true" indent="0" shrinkToFit="false"/>
      <protection locked="true" hidden="false"/>
    </xf>
    <xf numFmtId="165" fontId="31" fillId="0" borderId="25" xfId="0" applyFont="true" applyBorder="true" applyAlignment="true" applyProtection="true">
      <alignment horizontal="center" vertical="center"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8" fillId="17" borderId="0" xfId="0" applyFont="true" applyBorder="false" applyAlignment="true" applyProtection="true">
      <alignment horizontal="general" vertical="bottom" textRotation="0" wrapText="false" indent="0" shrinkToFit="false"/>
      <protection locked="true" hidden="false"/>
    </xf>
    <xf numFmtId="171" fontId="0" fillId="10" borderId="0" xfId="0" applyFont="true" applyBorder="false" applyAlignment="true" applyProtection="true">
      <alignment horizontal="general" vertical="center" textRotation="0" wrapText="false" indent="0" shrinkToFit="false"/>
      <protection locked="true" hidden="false"/>
    </xf>
    <xf numFmtId="165" fontId="31" fillId="0" borderId="0" xfId="0" applyFont="true" applyBorder="true" applyAlignment="true" applyProtection="true">
      <alignment horizontal="center" vertical="center" textRotation="0" wrapText="false" indent="0" shrinkToFit="false"/>
      <protection locked="true" hidden="false"/>
    </xf>
    <xf numFmtId="164" fontId="19" fillId="11" borderId="4" xfId="0" applyFont="true" applyBorder="true" applyAlignment="true" applyProtection="true">
      <alignment horizontal="left" vertical="center" textRotation="0" wrapText="true" indent="0" shrinkToFit="false"/>
      <protection locked="true" hidden="false"/>
    </xf>
    <xf numFmtId="165" fontId="32" fillId="0" borderId="0" xfId="0" applyFont="true" applyBorder="true" applyAlignment="true" applyProtection="true">
      <alignment horizontal="general" vertical="center" textRotation="0" wrapText="false" indent="0" shrinkToFit="false"/>
      <protection locked="true" hidden="false"/>
    </xf>
    <xf numFmtId="165" fontId="31" fillId="0" borderId="0" xfId="0" applyFont="true" applyBorder="true" applyAlignment="true" applyProtection="true">
      <alignment horizontal="general" vertical="center" textRotation="0" wrapText="false" indent="0" shrinkToFit="false"/>
      <protection locked="true" hidden="false"/>
    </xf>
    <xf numFmtId="165" fontId="15" fillId="4" borderId="17" xfId="0"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true" indent="0" shrinkToFit="false"/>
      <protection locked="true" hidden="false"/>
    </xf>
    <xf numFmtId="164" fontId="19" fillId="11" borderId="19" xfId="0" applyFont="true" applyBorder="true" applyAlignment="true" applyProtection="true">
      <alignment horizontal="left" vertical="center" textRotation="0" wrapText="true" indent="0" shrinkToFit="false"/>
      <protection locked="true" hidden="false"/>
    </xf>
    <xf numFmtId="164" fontId="16" fillId="14" borderId="24" xfId="0" applyFont="true" applyBorder="true" applyAlignment="true" applyProtection="true">
      <alignment horizontal="center" vertical="center" textRotation="0" wrapText="false" indent="0" shrinkToFit="false"/>
      <protection locked="true" hidden="false"/>
    </xf>
    <xf numFmtId="164" fontId="16" fillId="14" borderId="24" xfId="0" applyFont="true" applyBorder="true" applyAlignment="true" applyProtection="true">
      <alignment horizontal="center" vertical="center" textRotation="0" wrapText="true" indent="0" shrinkToFit="false"/>
      <protection locked="true" hidden="false"/>
    </xf>
    <xf numFmtId="165" fontId="16" fillId="14" borderId="24" xfId="0" applyFont="true" applyBorder="true" applyAlignment="true" applyProtection="true">
      <alignment horizontal="right" vertical="center" textRotation="0" wrapText="false" indent="1" shrinkToFit="false"/>
      <protection locked="true" hidden="false"/>
    </xf>
    <xf numFmtId="164" fontId="16" fillId="14" borderId="24" xfId="0" applyFont="true" applyBorder="true" applyAlignment="true" applyProtection="true">
      <alignment horizontal="left" vertical="center" textRotation="0" wrapText="false" indent="0" shrinkToFit="false"/>
      <protection locked="true" hidden="false"/>
    </xf>
    <xf numFmtId="165" fontId="15" fillId="4" borderId="24" xfId="0" applyFont="true" applyBorder="true" applyAlignment="true" applyProtection="true">
      <alignment horizontal="general" vertical="center" textRotation="0" wrapText="false" indent="0" shrinkToFit="false"/>
      <protection locked="true" hidden="false"/>
    </xf>
    <xf numFmtId="164" fontId="0" fillId="9" borderId="24" xfId="0" applyFont="true" applyBorder="true" applyAlignment="true" applyProtection="true">
      <alignment horizontal="general" vertical="center" textRotation="0" wrapText="true" indent="0" shrinkToFit="false"/>
      <protection locked="false" hidden="false"/>
    </xf>
    <xf numFmtId="168" fontId="13" fillId="7" borderId="24" xfId="19" applyFont="true" applyBorder="true" applyAlignment="true" applyProtection="true">
      <alignment horizontal="center" vertical="center" textRotation="0" wrapText="false" indent="0" shrinkToFit="false"/>
      <protection locked="false" hidden="false"/>
    </xf>
    <xf numFmtId="164" fontId="24" fillId="0" borderId="0" xfId="0" applyFont="true" applyBorder="true" applyAlignment="true" applyProtection="true">
      <alignment horizontal="left" vertical="center" textRotation="0" wrapText="false" indent="0" shrinkToFit="false"/>
      <protection locked="true" hidden="false"/>
    </xf>
    <xf numFmtId="164" fontId="11" fillId="0" borderId="0" xfId="0" applyFont="true" applyBorder="false" applyAlignment="true" applyProtection="true">
      <alignment horizontal="left" vertical="center" textRotation="0" wrapText="false" indent="0" shrinkToFit="false"/>
      <protection locked="true" hidden="false"/>
    </xf>
    <xf numFmtId="164" fontId="33" fillId="0" borderId="0" xfId="0" applyFont="true" applyBorder="false" applyAlignment="true" applyProtection="true">
      <alignment horizontal="general" vertical="center" textRotation="0" wrapText="false" indent="0" shrinkToFit="false"/>
      <protection locked="true" hidden="false"/>
    </xf>
    <xf numFmtId="164" fontId="13" fillId="18" borderId="3" xfId="0" applyFont="true" applyBorder="true" applyAlignment="true" applyProtection="true">
      <alignment horizontal="center" vertical="center" textRotation="0" wrapText="false" indent="0" shrinkToFit="false"/>
      <protection locked="true" hidden="false"/>
    </xf>
    <xf numFmtId="164" fontId="13" fillId="18" borderId="3" xfId="0" applyFont="true" applyBorder="true" applyAlignment="true" applyProtection="true">
      <alignment horizontal="center" vertical="center" textRotation="0" wrapText="true" indent="0" shrinkToFit="false"/>
      <protection locked="true" hidden="false"/>
    </xf>
    <xf numFmtId="165" fontId="13" fillId="18" borderId="3" xfId="0" applyFont="true" applyBorder="true" applyAlignment="true" applyProtection="true">
      <alignment horizontal="center" vertical="center" textRotation="0" wrapText="false" indent="0" shrinkToFit="false"/>
      <protection locked="true" hidden="false"/>
    </xf>
    <xf numFmtId="169" fontId="15" fillId="5" borderId="3" xfId="0" applyFont="true" applyBorder="true" applyAlignment="true" applyProtection="true">
      <alignment horizontal="general" vertical="center" textRotation="0" wrapText="false" indent="0" shrinkToFit="false"/>
      <protection locked="true" hidden="false"/>
    </xf>
    <xf numFmtId="168" fontId="0" fillId="5" borderId="3" xfId="19" applyFont="true" applyBorder="true" applyAlignment="true" applyProtection="true">
      <alignment horizontal="center" vertical="center" textRotation="0" wrapText="false" indent="0" shrinkToFit="false"/>
      <protection locked="true" hidden="false"/>
    </xf>
    <xf numFmtId="164" fontId="34" fillId="12" borderId="3" xfId="0" applyFont="true" applyBorder="true" applyAlignment="true" applyProtection="true">
      <alignment horizontal="general" vertical="center" textRotation="0" wrapText="false" indent="0" shrinkToFit="false"/>
      <protection locked="true" hidden="false"/>
    </xf>
    <xf numFmtId="168" fontId="34" fillId="5" borderId="3" xfId="19" applyFont="true" applyBorder="true" applyAlignment="true" applyProtection="true">
      <alignment horizontal="center" vertical="center" textRotation="0" wrapText="false" indent="0" shrinkToFit="false"/>
      <protection locked="true" hidden="false"/>
    </xf>
    <xf numFmtId="165" fontId="15" fillId="5" borderId="3" xfId="0" applyFont="true" applyBorder="true" applyAlignment="true" applyProtection="true">
      <alignment horizontal="general" vertical="center" textRotation="0" wrapText="false" indent="0" shrinkToFit="false"/>
      <protection locked="true" hidden="false"/>
    </xf>
    <xf numFmtId="168" fontId="0" fillId="5" borderId="26" xfId="19" applyFont="true" applyBorder="true" applyAlignment="true" applyProtection="true">
      <alignment horizontal="center" vertical="center" textRotation="0" wrapText="false" indent="0" shrinkToFit="false"/>
      <protection locked="true" hidden="false"/>
    </xf>
    <xf numFmtId="164" fontId="5" fillId="0" borderId="0" xfId="0" applyFont="true" applyBorder="true" applyAlignment="true" applyProtection="true">
      <alignment horizontal="center" vertical="bottom" textRotation="0" wrapText="false" indent="0" shrinkToFit="false"/>
      <protection locked="true" hidden="false"/>
    </xf>
    <xf numFmtId="167" fontId="0" fillId="0" borderId="0" xfId="0" applyFont="false" applyBorder="false" applyAlignment="true" applyProtection="true">
      <alignment horizontal="center" vertical="bottom"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true">
      <alignment horizontal="center" vertical="bottom" textRotation="0" wrapText="false" indent="0" shrinkToFit="false"/>
      <protection locked="true" hidden="false"/>
    </xf>
    <xf numFmtId="164" fontId="0" fillId="19" borderId="3" xfId="0" applyFont="false" applyBorder="true" applyAlignment="true" applyProtection="true">
      <alignment horizontal="center" vertical="center" textRotation="0" wrapText="false" indent="0" shrinkToFit="false"/>
      <protection locked="true" hidden="false"/>
    </xf>
    <xf numFmtId="164" fontId="0" fillId="20" borderId="3" xfId="0" applyFont="false" applyBorder="true" applyAlignment="true" applyProtection="true">
      <alignment horizontal="center" vertical="center" textRotation="0" wrapText="false" indent="0" shrinkToFit="false"/>
      <protection locked="true" hidden="false"/>
    </xf>
    <xf numFmtId="164" fontId="0" fillId="21" borderId="3" xfId="0" applyFont="false" applyBorder="true" applyAlignment="true" applyProtection="true">
      <alignment horizontal="center" vertical="center" textRotation="0" wrapText="false" indent="0" shrinkToFit="false"/>
      <protection locked="true" hidden="false"/>
    </xf>
    <xf numFmtId="164" fontId="0" fillId="18" borderId="3" xfId="0" applyFont="false" applyBorder="true" applyAlignment="true" applyProtection="true">
      <alignment horizontal="center" vertical="center" textRotation="0" wrapText="false" indent="0" shrinkToFit="false"/>
      <protection locked="true" hidden="false"/>
    </xf>
    <xf numFmtId="164" fontId="0" fillId="22" borderId="3" xfId="0" applyFont="false" applyBorder="true" applyAlignment="true" applyProtection="true">
      <alignment horizontal="center" vertical="center" textRotation="0" wrapText="false" indent="0" shrinkToFit="false"/>
      <protection locked="true" hidden="false"/>
    </xf>
    <xf numFmtId="164" fontId="0" fillId="13" borderId="3" xfId="0" applyFont="false" applyBorder="true" applyAlignment="true" applyProtection="true">
      <alignment horizontal="center" vertical="center"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73" fontId="0" fillId="19" borderId="3" xfId="0" applyFont="false" applyBorder="true" applyAlignment="true" applyProtection="true">
      <alignment horizontal="center" vertical="bottom" textRotation="0" wrapText="false" indent="0" shrinkToFit="false"/>
      <protection locked="true" hidden="false"/>
    </xf>
    <xf numFmtId="173" fontId="0" fillId="20" borderId="3" xfId="0" applyFont="false" applyBorder="true" applyAlignment="true" applyProtection="true">
      <alignment horizontal="center" vertical="bottom" textRotation="0" wrapText="false" indent="0" shrinkToFit="false"/>
      <protection locked="true" hidden="false"/>
    </xf>
    <xf numFmtId="173" fontId="0" fillId="21" borderId="3" xfId="0" applyFont="false" applyBorder="true" applyAlignment="true" applyProtection="true">
      <alignment horizontal="center" vertical="bottom" textRotation="0" wrapText="false" indent="0" shrinkToFit="false"/>
      <protection locked="true" hidden="false"/>
    </xf>
    <xf numFmtId="173" fontId="0" fillId="23" borderId="3" xfId="0" applyFont="false" applyBorder="true" applyAlignment="true" applyProtection="true">
      <alignment horizontal="center" vertical="bottom" textRotation="0" wrapText="false" indent="0" shrinkToFit="false"/>
      <protection locked="true" hidden="false"/>
    </xf>
    <xf numFmtId="173" fontId="0" fillId="22" borderId="3" xfId="0" applyFont="false" applyBorder="true" applyAlignment="true" applyProtection="true">
      <alignment horizontal="center" vertical="bottom" textRotation="0" wrapText="false" indent="0" shrinkToFit="false"/>
      <protection locked="true" hidden="false"/>
    </xf>
    <xf numFmtId="173" fontId="0" fillId="13" borderId="3" xfId="0" applyFont="false" applyBorder="true" applyAlignment="true" applyProtection="true">
      <alignment horizontal="center" vertical="center" textRotation="0" wrapText="false" indent="0" shrinkToFit="false"/>
      <protection locked="true" hidden="false"/>
    </xf>
    <xf numFmtId="164" fontId="8" fillId="0" borderId="0" xfId="0" applyFont="true" applyBorder="false" applyAlignment="true" applyProtection="true">
      <alignment horizontal="general" vertical="bottom" textRotation="0" wrapText="false" indent="0" shrinkToFit="false"/>
      <protection locked="true" hidden="false"/>
    </xf>
    <xf numFmtId="164" fontId="40" fillId="0" borderId="0" xfId="20" applyFont="true" applyBorder="true" applyAlignment="true" applyProtection="true">
      <alignment horizontal="general" vertical="bottom" textRotation="0" wrapText="false" indent="0" shrinkToFit="false"/>
      <protection locked="true" hidden="false"/>
    </xf>
    <xf numFmtId="164" fontId="41" fillId="24" borderId="3" xfId="0" applyFont="true" applyBorder="true" applyAlignment="true" applyProtection="true">
      <alignment horizontal="center" vertical="center" textRotation="0" wrapText="true" indent="0" shrinkToFit="false"/>
      <protection locked="true" hidden="false"/>
    </xf>
    <xf numFmtId="169" fontId="42" fillId="0" borderId="3" xfId="0" applyFont="true" applyBorder="true" applyAlignment="true" applyProtection="true">
      <alignment horizontal="general" vertical="center" textRotation="0" wrapText="tru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7" borderId="0" xfId="0" applyFont="false" applyBorder="false" applyAlignment="true" applyProtection="true">
      <alignment horizontal="general" vertical="bottom" textRotation="0" wrapText="false" indent="0" shrinkToFit="false"/>
      <protection locked="true" hidden="false"/>
    </xf>
    <xf numFmtId="165" fontId="0" fillId="0" borderId="3" xfId="0" applyFont="false" applyBorder="true" applyAlignment="true" applyProtection="true">
      <alignment horizontal="center" vertical="bottom" textRotation="0" wrapText="false" indent="0" shrinkToFit="false"/>
      <protection locked="true" hidden="false"/>
    </xf>
    <xf numFmtId="164" fontId="0" fillId="25" borderId="0" xfId="0" applyFont="false" applyBorder="false" applyAlignment="true" applyProtection="tru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Excel Built-in Bad" xfId="21"/>
    <cellStyle name="Excel Built-in Good" xfId="22"/>
    <cellStyle name="*unknown*" xfId="20" builtinId="8"/>
  </cellStyles>
  <dxfs count="21">
    <dxf>
      <font>
        <color rgb="FFC00000"/>
      </font>
    </dxf>
    <dxf>
      <fill>
        <patternFill>
          <bgColor theme="5" tint="0.5999"/>
        </patternFill>
      </fill>
    </dxf>
    <dxf>
      <font>
        <color rgb="FFC00000"/>
      </font>
      <fill>
        <patternFill>
          <bgColor rgb="FFFFC7CE"/>
        </patternFill>
      </fill>
    </dxf>
    <dxf>
      <font>
        <color rgb="FFC00000"/>
      </font>
      <fill>
        <patternFill>
          <bgColor rgb="FFFFC7CE"/>
        </patternFill>
      </fill>
    </dxf>
    <dxf>
      <fill>
        <patternFill>
          <bgColor theme="5" tint="0.5999"/>
        </patternFill>
      </fill>
    </dxf>
    <dxf>
      <font>
        <b val="1"/>
        <i val="0"/>
        <color rgb="FFFFFFFF"/>
      </font>
      <fill>
        <patternFill>
          <bgColor rgb="FF00FF00"/>
        </patternFill>
      </fill>
    </dxf>
    <dxf>
      <font>
        <color rgb="FF9C0006"/>
      </font>
      <fill>
        <patternFill>
          <bgColor rgb="FFFFC7CE"/>
        </patternFill>
      </fill>
    </dxf>
    <dxf>
      <fill>
        <patternFill>
          <bgColor theme="5" tint="0.5999"/>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patternType="solid">
          <bgColor rgb="FF000000"/>
        </patternFill>
      </fill>
    </dxf>
    <dxf>
      <fill>
        <patternFill patternType="solid">
          <fgColor rgb="FF000000"/>
          <bgColor rgb="FF000000"/>
        </patternFill>
      </fill>
    </dxf>
    <dxf>
      <fill>
        <patternFill patternType="solid">
          <fgColor rgb="FFFFFF00"/>
          <bgColor rgb="FF000000"/>
        </patternFill>
      </fill>
    </dxf>
  </dxfs>
  <colors>
    <indexedColors>
      <rgbColor rgb="FF000000"/>
      <rgbColor rgb="FFFFFFFF"/>
      <rgbColor rgb="FFFF0000"/>
      <rgbColor rgb="FF00FF00"/>
      <rgbColor rgb="FF0000FF"/>
      <rgbColor rgb="FFFFFF00"/>
      <rgbColor rgb="FFFF00FF"/>
      <rgbColor rgb="FF00FFFF"/>
      <rgbColor rgb="FF9C0006"/>
      <rgbColor rgb="FF006100"/>
      <rgbColor rgb="FF000080"/>
      <rgbColor rgb="FFB9CDE5"/>
      <rgbColor rgb="FF800080"/>
      <rgbColor rgb="FF4F81BD"/>
      <rgbColor rgb="FFB7B7B7"/>
      <rgbColor rgb="FF878787"/>
      <rgbColor rgb="FF558ED5"/>
      <rgbColor rgb="FFBE4B48"/>
      <rgbColor rgb="FFFFFFCC"/>
      <rgbColor rgb="FFDBEEF4"/>
      <rgbColor rgb="FF660066"/>
      <rgbColor rgb="FFC4BD97"/>
      <rgbColor rgb="FF0066CC"/>
      <rgbColor rgb="FFC6D9F1"/>
      <rgbColor rgb="FF000080"/>
      <rgbColor rgb="FFFF00FF"/>
      <rgbColor rgb="FFD7E4BD"/>
      <rgbColor rgb="FFDCE6F2"/>
      <rgbColor rgb="FF800080"/>
      <rgbColor rgb="FFC00000"/>
      <rgbColor rgb="FF008080"/>
      <rgbColor rgb="FF0000FF"/>
      <rgbColor rgb="FFFDEADA"/>
      <rgbColor rgb="FFDAE7F6"/>
      <rgbColor rgb="FFC6EFCE"/>
      <rgbColor rgb="FFFFFF99"/>
      <rgbColor rgb="FF93CDDD"/>
      <rgbColor rgb="FFE6B9B8"/>
      <rgbColor rgb="FFCCC1DA"/>
      <rgbColor rgb="FFFFC7CE"/>
      <rgbColor rgb="FF4A7EBB"/>
      <rgbColor rgb="FF80FF7F"/>
      <rgbColor rgb="FF92D050"/>
      <rgbColor rgb="FFFFC000"/>
      <rgbColor rgb="FFDDD9C3"/>
      <rgbColor rgb="FFD9D9D9"/>
      <rgbColor rgb="FF7D5FA0"/>
      <rgbColor rgb="FF98B855"/>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externalLink" Target="externalLinks/externalLink1.xml"/><Relationship Id="rId10"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c:style val="2"/>
  <c:chart>
    <c:title>
      <c:tx>
        <c:rich>
          <a:bodyPr rot="0"/>
          <a:lstStyle/>
          <a:p>
            <a:pPr>
              <a:defRPr sz="1300" b="0" u="none" strike="noStrike">
                <a:uFillTx/>
                <a:latin typeface="Arial"/>
              </a:defRPr>
            </a:pPr>
            <a:r>
              <a:rPr lang="en-US" sz="1600" b="1" u="none" strike="noStrike">
                <a:solidFill>
                  <a:srgbClr val="000000"/>
                </a:solidFill>
                <a:uFillTx/>
                <a:latin typeface="Calibri"/>
              </a:rPr>
              <a:t>VIN</a:t>
            </a:r>
            <a:r>
              <a:rPr lang="en-US" sz="1600" b="1" u="none" strike="noStrike">
                <a:solidFill>
                  <a:srgbClr val="000000"/>
                </a:solidFill>
                <a:uFillTx/>
                <a:latin typeface="Calibri"/>
              </a:rPr>
              <a:t> Thresholds Programmed</a:t>
            </a:r>
          </a:p>
        </c:rich>
      </c:tx>
      <c:layout>
        <c:manualLayout>
          <c:xMode val="edge"/>
          <c:yMode val="edge"/>
          <c:x val="0.101242090461683"/>
          <c:y val="0.0648648648648649"/>
        </c:manualLayout>
      </c:layout>
      <c:overlay val="0"/>
      <c:spPr>
        <a:noFill/>
        <a:ln w="0">
          <a:noFill/>
        </a:ln>
      </c:spPr>
    </c:title>
    <c:autoTitleDeleted val="0"/>
    <c:plotArea>
      <c:layout>
        <c:manualLayout>
          <c:layoutTarget val="inner"/>
          <c:xMode val="edge"/>
          <c:yMode val="edge"/>
          <c:x val="0.078141216646021"/>
          <c:y val="0.0378378378378378"/>
          <c:w val="0.867253674378118"/>
          <c:h val="0.864864864864865"/>
        </c:manualLayout>
      </c:layout>
      <c:lineChart>
        <c:grouping val="standard"/>
        <c:varyColors val="0"/>
        <c:ser>
          <c:idx val="0"/>
          <c:order val="0"/>
          <c:spPr>
            <a:solidFill>
              <a:srgbClr val="0000ff"/>
            </a:solidFill>
            <a:ln w="12600">
              <a:solidFill>
                <a:srgbClr val="0000ff"/>
              </a:solidFill>
              <a:round/>
            </a:ln>
          </c:spPr>
          <c:smooth val="0"/>
        </c:ser>
        <c:hiLowLines>
          <c:spPr>
            <a:ln w="0">
              <a:noFill/>
            </a:ln>
          </c:spPr>
        </c:hiLowLines>
        <c:marker val="1"/>
        <c:axId val="27839221"/>
        <c:axId val="78852197"/>
      </c:lineChart>
      <c:catAx>
        <c:axId val="27839221"/>
        <c:scaling>
          <c:orientation val="minMax"/>
        </c:scaling>
        <c:delete val="1"/>
        <c:axPos val="b"/>
        <c:majorGridlines>
          <c:spPr>
            <a:ln w="9360">
              <a:solidFill>
                <a:srgbClr val="878787"/>
              </a:solidFill>
              <a:round/>
            </a:ln>
          </c:spPr>
        </c:majorGridlines>
        <c:minorGridlines>
          <c:spPr>
            <a:ln w="9360">
              <a:solidFill>
                <a:srgbClr val="b7b7b7"/>
              </a:solidFill>
              <a:round/>
            </a:ln>
          </c:spPr>
        </c:minorGridlines>
        <c:numFmt formatCode="[$-409]mm/dd/yyyy" sourceLinked="1"/>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78852197"/>
        <c:auto val="1"/>
        <c:lblAlgn val="ctr"/>
        <c:lblOffset val="100"/>
        <c:noMultiLvlLbl val="0"/>
      </c:catAx>
      <c:valAx>
        <c:axId val="78852197"/>
        <c:scaling>
          <c:orientation val="minMax"/>
        </c:scaling>
        <c:delete val="0"/>
        <c:axPos val="l"/>
        <c:majorGridlines>
          <c:spPr>
            <a:ln w="9360">
              <a:solidFill>
                <a:srgbClr val="878787"/>
              </a:solidFill>
              <a:round/>
            </a:ln>
          </c:spPr>
        </c:majorGridlines>
        <c:numFmt formatCode="0.00"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27839221"/>
        <c:crosses val="autoZero"/>
        <c:crossBetween val="between"/>
      </c:valAx>
      <c:spPr>
        <a:solidFill>
          <a:srgbClr val="ffffff"/>
        </a:solidFill>
        <a:ln w="0">
          <a:noFill/>
        </a:ln>
      </c:spPr>
    </c:plotArea>
    <c:plotVisOnly val="1"/>
    <c:dispBlanksAs val="gap"/>
  </c:chart>
  <c:spPr>
    <a:solidFill>
      <a:srgbClr val="ffffff"/>
    </a:solidFill>
    <a:ln w="38160">
      <a:solidFill>
        <a:srgbClr val="00b050"/>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style val="2"/>
  <c:chart>
    <c:title>
      <c:tx>
        <c:rich>
          <a:bodyPr rot="0"/>
          <a:lstStyle/>
          <a:p>
            <a:pPr>
              <a:defRPr sz="1300" b="0" u="none" strike="noStrike">
                <a:uFillTx/>
                <a:latin typeface="Arial"/>
              </a:defRPr>
            </a:pPr>
            <a:r>
              <a:rPr lang="en-US" sz="1600" b="1" u="none" strike="noStrike">
                <a:solidFill>
                  <a:srgbClr val="000000"/>
                </a:solidFill>
                <a:uFillTx/>
                <a:latin typeface="Calibri"/>
              </a:rPr>
              <a:t>VIN</a:t>
            </a:r>
            <a:r>
              <a:rPr lang="en-US" sz="1600" b="1" u="none" strike="noStrike">
                <a:solidFill>
                  <a:srgbClr val="000000"/>
                </a:solidFill>
                <a:uFillTx/>
                <a:latin typeface="Calibri"/>
              </a:rPr>
              <a:t> Thresholds Programmed</a:t>
            </a:r>
          </a:p>
        </c:rich>
      </c:tx>
      <c:layout>
        <c:manualLayout>
          <c:xMode val="edge"/>
          <c:yMode val="edge"/>
          <c:x val="0.115770634475014"/>
          <c:y val="0.0743345052737318"/>
        </c:manualLayout>
      </c:layout>
      <c:overlay val="0"/>
      <c:spPr>
        <a:noFill/>
        <a:ln w="0">
          <a:noFill/>
        </a:ln>
      </c:spPr>
    </c:title>
    <c:autoTitleDeleted val="0"/>
    <c:plotArea>
      <c:layout>
        <c:manualLayout>
          <c:layoutTarget val="inner"/>
          <c:xMode val="edge"/>
          <c:yMode val="edge"/>
          <c:x val="0.107172936552499"/>
          <c:y val="0.0472124560522351"/>
          <c:w val="0.825835204941044"/>
          <c:h val="0.881968859869412"/>
        </c:manualLayout>
      </c:layout>
      <c:lineChart>
        <c:grouping val="standard"/>
        <c:varyColors val="0"/>
        <c:ser>
          <c:idx val="0"/>
          <c:order val="0"/>
          <c:spPr>
            <a:solidFill>
              <a:srgbClr val="0000ff"/>
            </a:solidFill>
            <a:ln w="12600">
              <a:solidFill>
                <a:srgbClr val="0000ff"/>
              </a:solidFill>
              <a:round/>
            </a:ln>
          </c:spPr>
          <c:dPt>
            <c:idx val="0"/>
          </c:dPt>
          <c:dPt>
            <c:idx val="1"/>
          </c:dPt>
          <c:dPt>
            <c:idx val="2"/>
          </c:dPt>
          <c:dLbls>
            <c:dLbl>
              <c:idx val="0"/>
              <c:layout>
                <c:manualLayout>
                  <c:x val="-0.0851416802294093"/>
                  <c:y val="0.0331329379894045"/>
                </c:manualLayout>
              </c:layout>
              <c:numFmt formatCode="0.00" sourceLinked="1"/>
              <c:txPr>
                <a:bodyPr wrap="square"/>
                <a:lstStyle/>
                <a:p>
                  <a:pPr>
                    <a:defRPr sz="1000" b="0" u="none" strike="noStrike">
                      <a:solidFill>
                        <a:srgbClr val="000000"/>
                      </a:solidFill>
                      <a:uFillTx/>
                      <a:latin typeface="Calibri"/>
                    </a:defRPr>
                  </a:pPr>
                </a:p>
              </c:txPr>
              <c:dLblPos val="r"/>
              <c:showLegendKey val="0"/>
              <c:showVal val="1"/>
              <c:showCatName val="1"/>
              <c:showSerName val="0"/>
              <c:showPercent val="0"/>
              <c:separator>; </c:separator>
            </c:dLbl>
            <c:dLbl>
              <c:idx val="1"/>
              <c:layout>
                <c:manualLayout>
                  <c:x val="0.00136805079892273"/>
                  <c:y val="-0.0246201074675823"/>
                </c:manualLayout>
              </c:layout>
              <c:numFmt formatCode="0.00" sourceLinked="1"/>
              <c:txPr>
                <a:bodyPr wrap="square"/>
                <a:lstStyle/>
                <a:p>
                  <a:pPr>
                    <a:defRPr sz="1000" b="0" u="none" strike="noStrike">
                      <a:solidFill>
                        <a:srgbClr val="000000"/>
                      </a:solidFill>
                      <a:uFillTx/>
                      <a:latin typeface="Calibri"/>
                    </a:defRPr>
                  </a:pPr>
                </a:p>
              </c:txPr>
              <c:dLblPos val="r"/>
              <c:showLegendKey val="0"/>
              <c:showVal val="1"/>
              <c:showCatName val="1"/>
              <c:showSerName val="0"/>
              <c:showPercent val="0"/>
              <c:separator>; </c:separator>
            </c:dLbl>
            <c:dLbl>
              <c:idx val="2"/>
              <c:numFmt formatCode="General" sourceLinked="0"/>
              <c:txPr>
                <a:bodyPr wrap="square"/>
                <a:lstStyle/>
                <a:p>
                  <a:pPr>
                    <a:defRPr sz="1000" b="0" u="none" strike="noStrike">
                      <a:solidFill>
                        <a:srgbClr val="000000"/>
                      </a:solidFill>
                      <a:uFillTx/>
                      <a:latin typeface="Calibri"/>
                    </a:defRPr>
                  </a:pPr>
                </a:p>
              </c:txPr>
              <c:dLblPos val="r"/>
              <c:showLegendKey val="0"/>
              <c:showVal val="1"/>
              <c:showCatName val="1"/>
              <c:showSerName val="0"/>
              <c:showPercent val="0"/>
              <c:separator>; </c:separator>
            </c:dLbl>
            <c:numFmt formatCode="0.00" sourceLinked="1"/>
            <c:txPr>
              <a:bodyPr wrap="square"/>
              <a:lstStyle/>
              <a:p>
                <a:pPr>
                  <a:defRPr sz="1000" b="0" u="none" strike="noStrike">
                    <a:solidFill>
                      <a:srgbClr val="000000"/>
                    </a:solidFill>
                    <a:uFillTx/>
                    <a:latin typeface="Calibri"/>
                  </a:defRPr>
                </a:pPr>
              </a:p>
            </c:txPr>
            <c:dLblPos val="t"/>
            <c:showLegendKey val="0"/>
            <c:showVal val="1"/>
            <c:showCatName val="1"/>
            <c:showSerName val="0"/>
            <c:showPercent val="0"/>
            <c:separator>; </c:separator>
            <c:showLeaderLines val="0"/>
            <c:extLst>
              <c:ext xmlns:c15="http://schemas.microsoft.com/office/drawing/2012/chart" uri="{CE6537A1-D6FC-4f65-9D91-7224C49458BB}">
                <c15:showLeaderLines val="0"/>
              </c:ext>
            </c:extLst>
          </c:dLbls>
          <c:cat>
            <c:strRef>
              <c:f>'Calculation Sheet'!$L$32:$L$34</c:f>
              <c:strCache>
                <c:ptCount val="3"/>
                <c:pt idx="0">
                  <c:v>Power Fail 
(VIN Falling)</c:v>
                </c:pt>
                <c:pt idx="1">
                  <c:v>Release UVLO (VIN Rising)</c:v>
                </c:pt>
                <c:pt idx="2">
                  <c:v>OV Clamp
(VIN Rising)</c:v>
                </c:pt>
              </c:strCache>
            </c:strRef>
          </c:cat>
          <c:val>
            <c:numRef>
              <c:f>'Calculation Sheet'!$K$32:$K$34</c:f>
              <c:numCache>
                <c:formatCode>0.00</c:formatCode>
                <c:ptCount val="3"/>
                <c:pt idx="0">
                  <c:v>9.86271186440678</c:v>
                </c:pt>
                <c:pt idx="1">
                  <c:v>10.7593220338983</c:v>
                </c:pt>
                <c:pt idx="2">
                  <c:v>13.8</c:v>
                </c:pt>
              </c:numCache>
            </c:numRef>
          </c:val>
          <c:smooth val="0"/>
        </c:ser>
        <c:hiLowLines>
          <c:spPr>
            <a:ln w="0">
              <a:noFill/>
            </a:ln>
          </c:spPr>
        </c:hiLowLines>
        <c:marker val="1"/>
        <c:axId val="77508230"/>
        <c:axId val="77471057"/>
      </c:lineChart>
      <c:catAx>
        <c:axId val="77508230"/>
        <c:scaling>
          <c:orientation val="minMax"/>
        </c:scaling>
        <c:delete val="1"/>
        <c:axPos val="b"/>
        <c:majorGridlines>
          <c:spPr>
            <a:ln w="9360">
              <a:solidFill>
                <a:srgbClr val="878787"/>
              </a:solidFill>
              <a:round/>
            </a:ln>
          </c:spPr>
        </c:majorGridlines>
        <c:minorGridlines>
          <c:spPr>
            <a:ln w="9360">
              <a:solidFill>
                <a:srgbClr val="b7b7b7"/>
              </a:solidFill>
              <a:round/>
            </a:ln>
          </c:spPr>
        </c:minorGridlines>
        <c:numFmt formatCode="General" sourceLinked="1"/>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77471057"/>
        <c:auto val="1"/>
        <c:lblAlgn val="ctr"/>
        <c:lblOffset val="100"/>
        <c:noMultiLvlLbl val="0"/>
      </c:catAx>
      <c:valAx>
        <c:axId val="77471057"/>
        <c:scaling>
          <c:orientation val="minMax"/>
          <c:max val="14"/>
        </c:scaling>
        <c:delete val="0"/>
        <c:axPos val="l"/>
        <c:majorGridlines>
          <c:spPr>
            <a:ln w="9360">
              <a:solidFill>
                <a:srgbClr val="878787"/>
              </a:solidFill>
              <a:round/>
            </a:ln>
          </c:spPr>
        </c:majorGridlines>
        <c:numFmt formatCode="0.00"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77508230"/>
        <c:crosses val="autoZero"/>
        <c:crossBetween val="between"/>
      </c:valAx>
      <c:spPr>
        <a:solidFill>
          <a:srgbClr val="ffffff"/>
        </a:solidFill>
        <a:ln w="0">
          <a:noFill/>
        </a:ln>
      </c:spPr>
    </c:plotArea>
    <c:plotVisOnly val="1"/>
    <c:dispBlanksAs val="gap"/>
  </c:chart>
  <c:spPr>
    <a:solidFill>
      <a:srgbClr val="ffffff"/>
    </a:solidFill>
    <a:ln w="44280">
      <a:solidFill>
        <a:srgbClr val="00b050"/>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style val="2"/>
  <c:chart>
    <c:title>
      <c:tx>
        <c:rich>
          <a:bodyPr rot="0"/>
          <a:lstStyle/>
          <a:p>
            <a:pPr>
              <a:defRPr sz="1300" b="0" u="none" strike="noStrike">
                <a:uFillTx/>
                <a:latin typeface="Arial"/>
              </a:defRPr>
            </a:pPr>
            <a:r>
              <a:rPr lang="en-US" sz="1600" b="1" u="none" strike="noStrike">
                <a:solidFill>
                  <a:srgbClr val="000000"/>
                </a:solidFill>
                <a:uFillTx/>
                <a:latin typeface="Calibri"/>
              </a:rPr>
              <a:t>Current Limits Programmed</a:t>
            </a:r>
          </a:p>
        </c:rich>
      </c:tx>
      <c:layout>
        <c:manualLayout>
          <c:xMode val="edge"/>
          <c:yMode val="edge"/>
          <c:x val="0.100265386992402"/>
          <c:y val="0.0789901397767906"/>
        </c:manualLayout>
      </c:layout>
      <c:overlay val="0"/>
      <c:spPr>
        <a:noFill/>
        <a:ln w="0">
          <a:noFill/>
        </a:ln>
      </c:spPr>
    </c:title>
    <c:autoTitleDeleted val="0"/>
    <c:plotArea>
      <c:layout>
        <c:manualLayout>
          <c:layoutTarget val="inner"/>
          <c:xMode val="edge"/>
          <c:yMode val="edge"/>
          <c:x val="0.0931035736358018"/>
          <c:y val="0.0633871492035974"/>
          <c:w val="0.876286036281674"/>
          <c:h val="0.85989814714487"/>
        </c:manualLayout>
      </c:layout>
      <c:lineChart>
        <c:grouping val="standard"/>
        <c:varyColors val="0"/>
        <c:ser>
          <c:idx val="0"/>
          <c:order val="0"/>
          <c:spPr>
            <a:solidFill>
              <a:srgbClr val="4a7ebb"/>
            </a:solidFill>
            <a:ln w="28440">
              <a:solidFill>
                <a:srgbClr val="4a7ebb"/>
              </a:solidFill>
              <a:round/>
            </a:ln>
          </c:spPr>
          <c:dPt>
            <c:idx val="0"/>
          </c:dPt>
          <c:dPt>
            <c:idx val="1"/>
          </c:dPt>
          <c:dLbls>
            <c:dLbl>
              <c:idx val="0"/>
              <c:tx>
                <c:rich>
                  <a:bodyPr/>
                  <a:p>
                    <a:fld id="{1FEDFB89-29B3-440A-AB18-3B3A8EA19DC6}" type="CELLRANGE">
                      <a:rPr lang="en-US" sz="1000" b="0" u="none" strike="noStrike">
                        <a:solidFill>
                          <a:srgbClr val="000000"/>
                        </a:solidFill>
                        <a:uFillTx/>
                        <a:latin typeface="Calibri"/>
                      </a:rPr>
                      <a:t>[CELLRANGE]</a:t>
                    </a:fld>
                    <a:r>
                      <a:rPr lang="en-US" sz="1000" b="0" u="none" strike="noStrike">
                        <a:solidFill>
                          <a:srgbClr val="000000"/>
                        </a:solidFill>
                        <a:uFillTx/>
                        <a:latin typeface="Calibri"/>
                      </a:rPr>
                      <a:t>, </a:t>
                    </a:r>
                    <a:fld id="{9A904A1B-085C-4B11-A7FD-A84D291FAD59}" type="VALUE">
                      <a:rPr lang="en-US" sz="1000" b="0" u="none" strike="noStrike">
                        <a:solidFill>
                          <a:srgbClr val="000000"/>
                        </a:solidFill>
                        <a:uFillTx/>
                        <a:latin typeface="Calibri"/>
                      </a:rPr>
                      <a:t>0.26</a:t>
                    </a:fld>
                  </a:p>
                </c:rich>
              </c:tx>
              <c:numFmt formatCode="0.00" sourceLinked="1"/>
              <c:txPr>
                <a:bodyPr wrap="square"/>
                <a:lstStyle/>
                <a:p>
                  <a:pPr>
                    <a:defRPr sz="1000" b="0" u="none" strike="noStrike">
                      <a:solidFill>
                        <a:srgbClr val="000000"/>
                      </a:solidFill>
                      <a:uFillTx/>
                      <a:latin typeface="Calibri"/>
                    </a:defRPr>
                  </a:pPr>
                </a:p>
              </c:txPr>
              <c:dLblPos val="t"/>
              <c:showLegendKey val="0"/>
              <c:showVal val="1"/>
              <c:showCatName val="0"/>
              <c:showSerName val="0"/>
              <c:showPercent val="0"/>
              <c:separator>; </c:separator>
              <c:extLst>
                <c:ext xmlns:c15="http://schemas.microsoft.com/office/drawing/2012/chart" uri="{CE6537A1-D6FC-4f65-9D91-7224C49458BB}">
                  <c15:showDataLabelsRange val="1"/>
                </c:ext>
              </c:extLst>
            </c:dLbl>
            <c:dLbl>
              <c:idx val="1"/>
              <c:tx>
                <c:rich>
                  <a:bodyPr/>
                  <a:p>
                    <a:fld id="{A254DE87-EE49-401E-AF29-ECD434A47F77}" type="CELLRANGE">
                      <a:rPr lang="en-US" sz="1000" b="0" u="none" strike="noStrike">
                        <a:solidFill>
                          <a:srgbClr val="000000"/>
                        </a:solidFill>
                        <a:uFillTx/>
                        <a:latin typeface="Calibri"/>
                      </a:rPr>
                      <a:t>[CELLRANGE]</a:t>
                    </a:fld>
                    <a:r>
                      <a:rPr lang="en-US" sz="1000" b="0" u="none" strike="noStrike">
                        <a:solidFill>
                          <a:srgbClr val="000000"/>
                        </a:solidFill>
                        <a:uFillTx/>
                        <a:latin typeface="Calibri"/>
                      </a:rPr>
                      <a:t>, </a:t>
                    </a:r>
                    <a:fld id="{B2038BE0-15D5-4B6E-8C5E-78E00C2B7751}" type="VALUE">
                      <a:rPr lang="en-US" sz="1000" b="0" u="none" strike="noStrike">
                        <a:solidFill>
                          <a:srgbClr val="000000"/>
                        </a:solidFill>
                        <a:uFillTx/>
                        <a:latin typeface="Calibri"/>
                      </a:rPr>
                      <a:t>5.93</a:t>
                    </a:fld>
                  </a:p>
                </c:rich>
              </c:tx>
              <c:numFmt formatCode="0.00" sourceLinked="1"/>
              <c:txPr>
                <a:bodyPr wrap="square"/>
                <a:lstStyle/>
                <a:p>
                  <a:pPr>
                    <a:defRPr sz="1000" b="0" u="none" strike="noStrike">
                      <a:solidFill>
                        <a:srgbClr val="000000"/>
                      </a:solidFill>
                      <a:uFillTx/>
                      <a:latin typeface="Calibri"/>
                    </a:defRPr>
                  </a:pPr>
                </a:p>
              </c:txPr>
              <c:dLblPos val="t"/>
              <c:showLegendKey val="0"/>
              <c:showVal val="1"/>
              <c:showCatName val="0"/>
              <c:showSerName val="0"/>
              <c:showPercent val="0"/>
              <c:separator>; </c:separator>
              <c:extLst>
                <c:ext xmlns:c15="http://schemas.microsoft.com/office/drawing/2012/chart" uri="{CE6537A1-D6FC-4f65-9D91-7224C49458BB}">
                  <c15:showDataLabelsRange val="1"/>
                </c:ext>
              </c:extLst>
            </c:dLbl>
            <c:numFmt formatCode="0.00" sourceLinked="1"/>
            <c:txPr>
              <a:bodyPr wrap="square"/>
              <a:lstStyle/>
              <a:p>
                <a:pPr>
                  <a:defRPr sz="1000" b="0" u="none" strike="noStrike">
                    <a:solidFill>
                      <a:srgbClr val="000000"/>
                    </a:solidFill>
                    <a:uFillTx/>
                    <a:latin typeface="Calibri"/>
                  </a:defRPr>
                </a:pPr>
              </a:p>
            </c:txPr>
            <c:dLblPos val="t"/>
            <c:showLegendKey val="0"/>
            <c:showVal val="1"/>
            <c:showCatName val="0"/>
            <c:showSerName val="0"/>
            <c:showPercent val="0"/>
            <c:separator>; </c:separator>
            <c:showLeaderLines val="1"/>
            <c:leaderLines>
              <c:spPr>
                <a:ln w="28440">
                  <a:solidFill>
                    <a:srgbClr val="000000"/>
                  </a:solidFill>
                </a:ln>
              </c:spPr>
            </c:leaderLines>
            <c:extLst>
              <c:ext xmlns:c15="http://schemas.microsoft.com/office/drawing/2012/chart" uri="{CE6537A1-D6FC-4f65-9D91-7224C49458BB}">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0.261111111111111</c:v>
                </c:pt>
                <c:pt idx="1">
                  <c:v>5.93238434163701</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Lst>
        </c:ser>
        <c:hiLowLines>
          <c:spPr>
            <a:ln w="0">
              <a:noFill/>
            </a:ln>
          </c:spPr>
        </c:hiLowLines>
        <c:marker val="1"/>
        <c:axId val="41761995"/>
        <c:axId val="51864561"/>
      </c:lineChart>
      <c:catAx>
        <c:axId val="41761995"/>
        <c:scaling>
          <c:orientation val="minMax"/>
        </c:scaling>
        <c:delete val="1"/>
        <c:axPos val="b"/>
        <c:majorGridlines>
          <c:spPr>
            <a:ln w="9360">
              <a:solidFill>
                <a:srgbClr val="878787"/>
              </a:solidFill>
              <a:round/>
            </a:ln>
          </c:spPr>
        </c:majorGridlines>
        <c:minorGridlines>
          <c:spPr>
            <a:ln w="9360">
              <a:solidFill>
                <a:srgbClr val="b7b7b7"/>
              </a:solidFill>
              <a:round/>
            </a:ln>
          </c:spPr>
        </c:minorGridlines>
        <c:numFmt formatCode="General" sourceLinked="1"/>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51864561"/>
        <c:auto val="1"/>
        <c:lblAlgn val="ctr"/>
        <c:lblOffset val="100"/>
        <c:noMultiLvlLbl val="0"/>
      </c:catAx>
      <c:valAx>
        <c:axId val="51864561"/>
        <c:scaling>
          <c:orientation val="minMax"/>
        </c:scaling>
        <c:delete val="0"/>
        <c:axPos val="l"/>
        <c:majorGridlines>
          <c:spPr>
            <a:ln w="9360">
              <a:solidFill>
                <a:srgbClr val="878787"/>
              </a:solidFill>
              <a:round/>
            </a:ln>
          </c:spPr>
        </c:majorGridlines>
        <c:numFmt formatCode="0.00"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41761995"/>
        <c:crosses val="autoZero"/>
        <c:crossBetween val="between"/>
      </c:valAx>
      <c:spPr>
        <a:solidFill>
          <a:srgbClr val="ffffff"/>
        </a:solidFill>
        <a:ln w="0">
          <a:noFill/>
        </a:ln>
      </c:spPr>
    </c:plotArea>
    <c:plotVisOnly val="1"/>
    <c:dispBlanksAs val="gap"/>
  </c:chart>
  <c:spPr>
    <a:solidFill>
      <a:srgbClr val="ffffff"/>
    </a:solidFill>
    <a:ln w="41400">
      <a:solidFill>
        <a:srgbClr val="00b050"/>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style val="2"/>
  <c:chart>
    <c:title>
      <c:tx>
        <c:rich>
          <a:bodyPr rot="0"/>
          <a:lstStyle/>
          <a:p>
            <a:pPr>
              <a:defRPr sz="1300" b="0" u="none" strike="noStrike">
                <a:uFillTx/>
                <a:latin typeface="Arial"/>
              </a:defRPr>
            </a:pPr>
            <a:r>
              <a:rPr sz="1800" b="1" u="none" strike="noStrike">
                <a:solidFill>
                  <a:srgbClr val="000000"/>
                </a:solidFill>
                <a:uFillTx/>
                <a:latin typeface="Calibri"/>
              </a:rPr>
              <a:t>TREL VS PD</a:t>
            </a:r>
          </a:p>
        </c:rich>
      </c:tx>
      <c:overlay val="0"/>
      <c:spPr>
        <a:noFill/>
        <a:ln w="0">
          <a:noFill/>
        </a:ln>
      </c:spPr>
    </c:title>
    <c:autoTitleDeleted val="0"/>
    <c:plotArea>
      <c:scatterChart>
        <c:scatterStyle val="line"/>
        <c:varyColors val="0"/>
        <c:ser>
          <c:idx val="0"/>
          <c:order val="0"/>
          <c:tx>
            <c:strRef>
              <c:f>"TREL VS PD"</c:f>
              <c:strCache>
                <c:ptCount val="1"/>
                <c:pt idx="0">
                  <c:v>TREL VS PD</c:v>
                </c:pt>
              </c:strCache>
            </c:strRef>
          </c:tx>
          <c:spPr>
            <a:solidFill>
              <a:srgbClr val="4a7ebb"/>
            </a:solidFill>
            <a:ln w="28440">
              <a:solidFill>
                <a:srgbClr val="4a7ebb"/>
              </a:solidFill>
              <a:round/>
            </a:ln>
          </c:spPr>
          <c:marker>
            <c:symbol val="none"/>
          </c:marker>
          <c:dLbls>
            <c:txPr>
              <a:bodyPr wrap="square"/>
              <a:lstStyle/>
              <a:p>
                <a:pPr>
                  <a:defRPr sz="1000" b="0" u="none" strike="noStrike">
                    <a:solidFill>
                      <a:srgbClr val="000000"/>
                    </a:solidFill>
                    <a:uFillTx/>
                    <a:latin typeface="Calibri"/>
                  </a:defRPr>
                </a:pPr>
              </a:p>
            </c:txPr>
            <c:dLblPos val="r"/>
            <c:showLegendKey val="0"/>
            <c:showVal val="0"/>
            <c:showCatName val="0"/>
            <c:showSerName val="0"/>
            <c:showPercent val="0"/>
            <c:separator>; </c:separator>
            <c:showLeaderLines val="1"/>
            <c:leaderLines>
              <c:spPr>
                <a:ln w="28440">
                  <a:solidFill>
                    <a:srgbClr val="000000"/>
                  </a:solidFill>
                </a:ln>
              </c:spPr>
            </c:leaderLines>
            <c:extLst>
              <c:ext xmlns:c15="http://schemas.microsoft.com/office/drawing/2012/chart" uri="{CE6537A1-D6FC-4f65-9D91-7224C49458BB}">
                <c15:showLeaderLines val="1"/>
              </c:ext>
            </c:extLst>
          </c:dLbls>
          <c:xVal>
            <c:numRef>
              <c:f>'TREL PLOT'!$G$2:$G$21</c:f>
              <c:numCache>
                <c:formatCode>General</c:formatCode>
                <c:ptCount val="20"/>
                <c:pt idx="0">
                  <c:v>1.466684529</c:v>
                </c:pt>
                <c:pt idx="1">
                  <c:v>1.852262319</c:v>
                </c:pt>
                <c:pt idx="2">
                  <c:v>2.343313</c:v>
                </c:pt>
                <c:pt idx="3">
                  <c:v>3.181451</c:v>
                </c:pt>
                <c:pt idx="4">
                  <c:v>3.922238</c:v>
                </c:pt>
                <c:pt idx="5">
                  <c:v>4.882623</c:v>
                </c:pt>
                <c:pt idx="6">
                  <c:v>5.831134</c:v>
                </c:pt>
                <c:pt idx="7">
                  <c:v>6.99089</c:v>
                </c:pt>
                <c:pt idx="8">
                  <c:v>8.206818</c:v>
                </c:pt>
                <c:pt idx="9">
                  <c:v>8.873885</c:v>
                </c:pt>
                <c:pt idx="10">
                  <c:v>10.232274</c:v>
                </c:pt>
                <c:pt idx="11">
                  <c:v>20.141863</c:v>
                </c:pt>
                <c:pt idx="12">
                  <c:v>32.249536</c:v>
                </c:pt>
                <c:pt idx="13">
                  <c:v>40.678945</c:v>
                </c:pt>
                <c:pt idx="14">
                  <c:v>51.185561</c:v>
                </c:pt>
                <c:pt idx="15">
                  <c:v>63.017823</c:v>
                </c:pt>
                <c:pt idx="16">
                  <c:v>72.733315</c:v>
                </c:pt>
                <c:pt idx="17">
                  <c:v>79.796399</c:v>
                </c:pt>
                <c:pt idx="18">
                  <c:v>82.568744</c:v>
                </c:pt>
                <c:pt idx="19">
                  <c:v>91.642491</c:v>
                </c:pt>
              </c:numCache>
            </c:numRef>
          </c:xVal>
          <c:yVal>
            <c:numRef>
              <c:f>'TREL PLOT'!$F$2:$F$21</c:f>
              <c:numCache>
                <c:formatCode>General</c:formatCode>
                <c:ptCount val="20"/>
                <c:pt idx="0">
                  <c:v>16000</c:v>
                </c:pt>
                <c:pt idx="1">
                  <c:v>16000</c:v>
                </c:pt>
                <c:pt idx="2">
                  <c:v>13894.435</c:v>
                </c:pt>
                <c:pt idx="3">
                  <c:v>2313.228</c:v>
                </c:pt>
                <c:pt idx="4">
                  <c:v>1179.238</c:v>
                </c:pt>
                <c:pt idx="5">
                  <c:v>658.129</c:v>
                </c:pt>
                <c:pt idx="6">
                  <c:v>420.662</c:v>
                </c:pt>
                <c:pt idx="7">
                  <c:v>130.33</c:v>
                </c:pt>
                <c:pt idx="8">
                  <c:v>30.506</c:v>
                </c:pt>
                <c:pt idx="9">
                  <c:v>19.211</c:v>
                </c:pt>
                <c:pt idx="10">
                  <c:v>6.257</c:v>
                </c:pt>
                <c:pt idx="11">
                  <c:v>0.915</c:v>
                </c:pt>
                <c:pt idx="12">
                  <c:v>0.323</c:v>
                </c:pt>
                <c:pt idx="13">
                  <c:v>0.209</c:v>
                </c:pt>
                <c:pt idx="14">
                  <c:v>0.146</c:v>
                </c:pt>
                <c:pt idx="15">
                  <c:v>0.122</c:v>
                </c:pt>
                <c:pt idx="16">
                  <c:v>0.105</c:v>
                </c:pt>
                <c:pt idx="17">
                  <c:v>0.098</c:v>
                </c:pt>
                <c:pt idx="18">
                  <c:v>0.095</c:v>
                </c:pt>
                <c:pt idx="19">
                  <c:v>0.087</c:v>
                </c:pt>
              </c:numCache>
            </c:numRef>
          </c:yVal>
          <c:smooth val="0"/>
        </c:ser>
        <c:axId val="4903740"/>
        <c:axId val="27137133"/>
      </c:scatterChart>
      <c:valAx>
        <c:axId val="4903740"/>
        <c:scaling>
          <c:orientation val="minMax"/>
        </c:scaling>
        <c:delete val="0"/>
        <c:axPos val="b"/>
        <c:title>
          <c:tx>
            <c:rich>
              <a:bodyPr rot="0"/>
              <a:lstStyle/>
              <a:p>
                <a:pPr>
                  <a:defRPr sz="1300" b="0" u="none" strike="noStrike">
                    <a:uFillTx/>
                    <a:latin typeface="Arial"/>
                  </a:defRPr>
                </a:pPr>
                <a:r>
                  <a:rPr lang="en-US" sz="1000" b="1" u="none" strike="noStrike">
                    <a:solidFill>
                      <a:srgbClr val="000000"/>
                    </a:solidFill>
                    <a:uFillTx/>
                    <a:latin typeface="Calibri"/>
                  </a:rPr>
                  <a:t>Power</a:t>
                </a:r>
                <a:r>
                  <a:rPr lang="en-US" sz="1000" b="1" u="none" strike="noStrike">
                    <a:solidFill>
                      <a:srgbClr val="000000"/>
                    </a:solidFill>
                    <a:uFillTx/>
                    <a:latin typeface="Calibri"/>
                  </a:rPr>
                  <a:t> Dissipation During Inrush(W)</a:t>
                </a:r>
              </a:p>
            </c:rich>
          </c:tx>
          <c:overlay val="0"/>
          <c:spPr>
            <a:noFill/>
            <a:ln w="0">
              <a:noFill/>
            </a:ln>
          </c:spPr>
        </c:title>
        <c:numFmt formatCode="General"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27137133"/>
        <c:crossesAt val="1E-005"/>
        <c:crossBetween val="midCat"/>
      </c:valAx>
      <c:valAx>
        <c:axId val="27137133"/>
        <c:scaling>
          <c:logBase val="10"/>
          <c:orientation val="minMax"/>
          <c:max val="100000"/>
          <c:min val="0.001"/>
        </c:scaling>
        <c:delete val="0"/>
        <c:axPos val="l"/>
        <c:majorGridlines>
          <c:spPr>
            <a:ln w="9360">
              <a:solidFill>
                <a:srgbClr val="878787"/>
              </a:solidFill>
              <a:round/>
            </a:ln>
          </c:spPr>
        </c:majorGridlines>
        <c:title>
          <c:tx>
            <c:rich>
              <a:bodyPr rot="-5400000"/>
              <a:lstStyle/>
              <a:p>
                <a:pPr>
                  <a:defRPr sz="1300" b="0" u="none" strike="noStrike">
                    <a:uFillTx/>
                    <a:latin typeface="Arial"/>
                  </a:defRPr>
                </a:pPr>
                <a:r>
                  <a:rPr lang="en-US" sz="1000" b="1" u="none" strike="noStrike">
                    <a:solidFill>
                      <a:srgbClr val="000000"/>
                    </a:solidFill>
                    <a:uFillTx/>
                    <a:latin typeface="Calibri"/>
                  </a:rPr>
                  <a:t>Time</a:t>
                </a:r>
                <a:r>
                  <a:rPr lang="en-US" sz="1000" b="1" u="none" strike="noStrike">
                    <a:solidFill>
                      <a:srgbClr val="000000"/>
                    </a:solidFill>
                    <a:uFillTx/>
                    <a:latin typeface="Calibri"/>
                  </a:rPr>
                  <a:t> To Thermal Shutdwon(ms)</a:t>
                </a:r>
              </a:p>
            </c:rich>
          </c:tx>
          <c:layout>
            <c:manualLayout>
              <c:xMode val="edge"/>
              <c:yMode val="edge"/>
              <c:x val="0.0278045334874462"/>
              <c:y val="0.134988146701994"/>
            </c:manualLayout>
          </c:layout>
          <c:overlay val="0"/>
          <c:spPr>
            <a:noFill/>
            <a:ln w="0">
              <a:noFill/>
            </a:ln>
          </c:spPr>
        </c:title>
        <c:numFmt formatCode="General"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4903740"/>
        <c:crosses val="autoZero"/>
        <c:crossBetween val="midCat"/>
      </c:valAx>
      <c:spPr>
        <a:solidFill>
          <a:srgbClr val="ffffff"/>
        </a:solidFill>
        <a:ln w="0">
          <a:noFill/>
        </a:ln>
      </c:spPr>
    </c:plotArea>
    <c:legend>
      <c:legendPos val="r"/>
      <c:overlay val="0"/>
      <c:spPr>
        <a:noFill/>
        <a:ln w="0">
          <a:noFill/>
        </a:ln>
      </c:spPr>
      <c:txPr>
        <a:bodyPr/>
        <a:lstStyle/>
        <a:p>
          <a:pPr>
            <a:defRPr sz="1000" b="0" u="none" strike="noStrike">
              <a:solidFill>
                <a:srgbClr val="000000"/>
              </a:solidFill>
              <a:uFillTx/>
              <a:latin typeface="Calibri"/>
            </a:defRPr>
          </a:pPr>
        </a:p>
      </c:txPr>
    </c:legend>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style val="2"/>
  <c:chart>
    <c:autoTitleDeleted val="1"/>
    <c:plotArea>
      <c:scatterChart>
        <c:scatterStyle val="lineMarker"/>
        <c:varyColors val="0"/>
        <c:ser>
          <c:idx val="0"/>
          <c:order val="0"/>
          <c:tx>
            <c:strRef>
              <c:f>"25C"</c:f>
              <c:strCache>
                <c:ptCount val="1"/>
                <c:pt idx="0">
                  <c:v>25C</c:v>
                </c:pt>
              </c:strCache>
            </c:strRef>
          </c:tx>
          <c:spPr>
            <a:solidFill>
              <a:srgbClr val="4a7ebb"/>
            </a:solidFill>
            <a:ln w="28440">
              <a:solidFill>
                <a:srgbClr val="4a7ebb"/>
              </a:solidFill>
              <a:round/>
            </a:ln>
          </c:spPr>
          <c:dLbls>
            <c:txPr>
              <a:bodyPr wrap="square"/>
              <a:lstStyle/>
              <a:p>
                <a:pPr>
                  <a:defRPr sz="1000" b="0" u="none" strike="noStrike">
                    <a:solidFill>
                      <a:srgbClr val="000000"/>
                    </a:solidFill>
                    <a:uFillTx/>
                    <a:latin typeface="Calibri"/>
                  </a:defRPr>
                </a:pPr>
              </a:p>
            </c:txPr>
            <c:dLblPos val="r"/>
            <c:showLegendKey val="0"/>
            <c:showVal val="0"/>
            <c:showCatName val="0"/>
            <c:showSerName val="0"/>
            <c:showPercent val="0"/>
            <c:separator>; </c:separator>
            <c:showLeaderLines val="1"/>
            <c:leaderLines>
              <c:spPr>
                <a:ln w="28440">
                  <a:solidFill>
                    <a:srgbClr val="000000"/>
                  </a:solidFill>
                </a:ln>
              </c:spPr>
            </c:leaderLines>
            <c:extLst>
              <c:ext xmlns:c15="http://schemas.microsoft.com/office/drawing/2012/chart" uri="{CE6537A1-D6FC-4f65-9D91-7224C49458BB}">
                <c15:showLeaderLines val="1"/>
              </c:ext>
            </c:extLst>
          </c:dLbls>
          <c:xVal>
            <c:numRef>
              <c:f>'TSD PLOT'!$E$4:$E$16</c:f>
              <c:numCache>
                <c:formatCode>General</c:formatCode>
                <c:ptCount val="13"/>
                <c:pt idx="0">
                  <c:v>2.137698</c:v>
                </c:pt>
                <c:pt idx="1">
                  <c:v>2.158971</c:v>
                </c:pt>
                <c:pt idx="2">
                  <c:v>2.257254</c:v>
                </c:pt>
                <c:pt idx="3">
                  <c:v>2.336822</c:v>
                </c:pt>
                <c:pt idx="4">
                  <c:v>4.555052</c:v>
                </c:pt>
                <c:pt idx="5">
                  <c:v>4.837825</c:v>
                </c:pt>
                <c:pt idx="6">
                  <c:v>5.345233</c:v>
                </c:pt>
                <c:pt idx="7">
                  <c:v>5.872415</c:v>
                </c:pt>
                <c:pt idx="8">
                  <c:v>6.308521</c:v>
                </c:pt>
                <c:pt idx="9">
                  <c:v>17.054611</c:v>
                </c:pt>
                <c:pt idx="10">
                  <c:v>18.871649</c:v>
                </c:pt>
                <c:pt idx="11">
                  <c:v>20.611383</c:v>
                </c:pt>
                <c:pt idx="12">
                  <c:v>23.036022</c:v>
                </c:pt>
              </c:numCache>
            </c:numRef>
          </c:xVal>
          <c:yVal>
            <c:numRef>
              <c:f>'TSD PLOT'!$G$4:$G$16</c:f>
              <c:numCache>
                <c:formatCode>General</c:formatCode>
                <c:ptCount val="13"/>
                <c:pt idx="0">
                  <c:v>23021.011</c:v>
                </c:pt>
                <c:pt idx="1">
                  <c:v>19870.804</c:v>
                </c:pt>
                <c:pt idx="2">
                  <c:v>9809.087</c:v>
                </c:pt>
                <c:pt idx="3">
                  <c:v>7830.796</c:v>
                </c:pt>
                <c:pt idx="4">
                  <c:v>497.695</c:v>
                </c:pt>
                <c:pt idx="5">
                  <c:v>375.974</c:v>
                </c:pt>
                <c:pt idx="6">
                  <c:v>281.928</c:v>
                </c:pt>
                <c:pt idx="7">
                  <c:v>220.768</c:v>
                </c:pt>
                <c:pt idx="8">
                  <c:v>169.961</c:v>
                </c:pt>
                <c:pt idx="9">
                  <c:v>14.929</c:v>
                </c:pt>
                <c:pt idx="10">
                  <c:v>11.42</c:v>
                </c:pt>
                <c:pt idx="11">
                  <c:v>9.084</c:v>
                </c:pt>
                <c:pt idx="12">
                  <c:v>7.226</c:v>
                </c:pt>
              </c:numCache>
            </c:numRef>
          </c:yVal>
          <c:smooth val="0"/>
        </c:ser>
        <c:ser>
          <c:idx val="1"/>
          <c:order val="1"/>
          <c:tx>
            <c:strRef>
              <c:f>"85C"</c:f>
              <c:strCache>
                <c:ptCount val="1"/>
                <c:pt idx="0">
                  <c:v>85C</c:v>
                </c:pt>
              </c:strCache>
            </c:strRef>
          </c:tx>
          <c:spPr>
            <a:solidFill>
              <a:srgbClr val="be4b48"/>
            </a:solidFill>
            <a:ln w="28440">
              <a:solidFill>
                <a:srgbClr val="be4b48"/>
              </a:solidFill>
              <a:round/>
            </a:ln>
          </c:spPr>
          <c:dLbls>
            <c:txPr>
              <a:bodyPr wrap="square"/>
              <a:lstStyle/>
              <a:p>
                <a:pPr>
                  <a:defRPr sz="1000" b="0" u="none" strike="noStrike">
                    <a:solidFill>
                      <a:srgbClr val="000000"/>
                    </a:solidFill>
                    <a:uFillTx/>
                    <a:latin typeface="Calibri"/>
                  </a:defRPr>
                </a:pPr>
              </a:p>
            </c:txPr>
            <c:dLblPos val="r"/>
            <c:showLegendKey val="0"/>
            <c:showVal val="0"/>
            <c:showCatName val="0"/>
            <c:showSerName val="0"/>
            <c:showPercent val="0"/>
            <c:separator>; </c:separator>
            <c:showLeaderLines val="1"/>
            <c:leaderLines>
              <c:spPr>
                <a:ln w="28440">
                  <a:solidFill>
                    <a:srgbClr val="000000"/>
                  </a:solidFill>
                </a:ln>
              </c:spPr>
            </c:leaderLines>
            <c:extLst>
              <c:ext xmlns:c15="http://schemas.microsoft.com/office/drawing/2012/chart" uri="{CE6537A1-D6FC-4f65-9D91-7224C49458BB}">
                <c15:showLeaderLines val="1"/>
              </c:ext>
            </c:extLst>
          </c:dLbls>
          <c:xVal>
            <c:numRef>
              <c:f>'TSD PLOT'!$E$21:$E$34</c:f>
              <c:numCache>
                <c:formatCode>General</c:formatCode>
                <c:ptCount val="14"/>
                <c:pt idx="0">
                  <c:v>1.327849</c:v>
                </c:pt>
                <c:pt idx="1">
                  <c:v>1.345315</c:v>
                </c:pt>
                <c:pt idx="2">
                  <c:v>1.368246</c:v>
                </c:pt>
                <c:pt idx="3">
                  <c:v>2.116723</c:v>
                </c:pt>
                <c:pt idx="4">
                  <c:v>2.151375</c:v>
                </c:pt>
                <c:pt idx="5">
                  <c:v>2.597</c:v>
                </c:pt>
                <c:pt idx="6">
                  <c:v>4.84294</c:v>
                </c:pt>
                <c:pt idx="7">
                  <c:v>5.387815</c:v>
                </c:pt>
                <c:pt idx="8">
                  <c:v>5.875319</c:v>
                </c:pt>
                <c:pt idx="9">
                  <c:v>6.403435</c:v>
                </c:pt>
                <c:pt idx="10">
                  <c:v>16.844407</c:v>
                </c:pt>
                <c:pt idx="11">
                  <c:v>18.913537</c:v>
                </c:pt>
                <c:pt idx="12">
                  <c:v>21.181205</c:v>
                </c:pt>
                <c:pt idx="13">
                  <c:v>23.257106</c:v>
                </c:pt>
              </c:numCache>
            </c:numRef>
          </c:xVal>
          <c:yVal>
            <c:numRef>
              <c:f>'TSD PLOT'!$G$21:$G$34</c:f>
              <c:numCache>
                <c:formatCode>General</c:formatCode>
                <c:ptCount val="14"/>
                <c:pt idx="0">
                  <c:v>20761.422</c:v>
                </c:pt>
                <c:pt idx="1">
                  <c:v>14738.653</c:v>
                </c:pt>
                <c:pt idx="2">
                  <c:v>11355.892</c:v>
                </c:pt>
                <c:pt idx="3">
                  <c:v>780.52</c:v>
                </c:pt>
                <c:pt idx="4">
                  <c:v>750.427</c:v>
                </c:pt>
                <c:pt idx="5">
                  <c:v>405.905</c:v>
                </c:pt>
                <c:pt idx="6">
                  <c:v>73.719</c:v>
                </c:pt>
                <c:pt idx="7">
                  <c:v>56.153</c:v>
                </c:pt>
                <c:pt idx="8">
                  <c:v>43.491</c:v>
                </c:pt>
                <c:pt idx="9">
                  <c:v>34.578</c:v>
                </c:pt>
                <c:pt idx="10">
                  <c:v>3.718</c:v>
                </c:pt>
                <c:pt idx="11">
                  <c:v>2.879</c:v>
                </c:pt>
                <c:pt idx="12">
                  <c:v>2.285</c:v>
                </c:pt>
                <c:pt idx="13">
                  <c:v>1.676</c:v>
                </c:pt>
              </c:numCache>
            </c:numRef>
          </c:yVal>
          <c:smooth val="0"/>
        </c:ser>
        <c:ser>
          <c:idx val="2"/>
          <c:order val="2"/>
          <c:tx>
            <c:strRef>
              <c:f>"125C"</c:f>
              <c:strCache>
                <c:ptCount val="1"/>
                <c:pt idx="0">
                  <c:v>125C</c:v>
                </c:pt>
              </c:strCache>
            </c:strRef>
          </c:tx>
          <c:spPr>
            <a:solidFill>
              <a:srgbClr val="98b855"/>
            </a:solidFill>
            <a:ln w="28440">
              <a:solidFill>
                <a:srgbClr val="98b855"/>
              </a:solidFill>
              <a:round/>
            </a:ln>
          </c:spPr>
          <c:dLbls>
            <c:txPr>
              <a:bodyPr wrap="square"/>
              <a:lstStyle/>
              <a:p>
                <a:pPr>
                  <a:defRPr sz="1000" b="0" u="none" strike="noStrike">
                    <a:solidFill>
                      <a:srgbClr val="000000"/>
                    </a:solidFill>
                    <a:uFillTx/>
                    <a:latin typeface="Calibri"/>
                  </a:defRPr>
                </a:pPr>
              </a:p>
            </c:txPr>
            <c:dLblPos val="r"/>
            <c:showLegendKey val="0"/>
            <c:showVal val="0"/>
            <c:showCatName val="0"/>
            <c:showSerName val="0"/>
            <c:showPercent val="0"/>
            <c:separator>; </c:separator>
            <c:showLeaderLines val="1"/>
            <c:leaderLines>
              <c:spPr>
                <a:ln w="28440">
                  <a:solidFill>
                    <a:srgbClr val="000000"/>
                  </a:solidFill>
                </a:ln>
              </c:spPr>
            </c:leaderLines>
            <c:extLst>
              <c:ext xmlns:c15="http://schemas.microsoft.com/office/drawing/2012/chart" uri="{CE6537A1-D6FC-4f65-9D91-7224C49458BB}">
                <c15:showLeaderLines val="1"/>
              </c:ext>
            </c:extLst>
          </c:dLbls>
          <c:xVal>
            <c:numRef>
              <c:f>'TSD PLOT'!$E$36:$E$48</c:f>
              <c:numCache>
                <c:formatCode>General</c:formatCode>
                <c:ptCount val="13"/>
                <c:pt idx="0">
                  <c:v>1.039117</c:v>
                </c:pt>
                <c:pt idx="1">
                  <c:v>1.138524</c:v>
                </c:pt>
                <c:pt idx="2">
                  <c:v>1.253053</c:v>
                </c:pt>
                <c:pt idx="3">
                  <c:v>1.37079</c:v>
                </c:pt>
                <c:pt idx="4">
                  <c:v>4.087796</c:v>
                </c:pt>
                <c:pt idx="5">
                  <c:v>4.623383</c:v>
                </c:pt>
                <c:pt idx="6">
                  <c:v>5.023212</c:v>
                </c:pt>
                <c:pt idx="7">
                  <c:v>5.531954</c:v>
                </c:pt>
                <c:pt idx="8">
                  <c:v>6.107995</c:v>
                </c:pt>
                <c:pt idx="9">
                  <c:v>16.830774</c:v>
                </c:pt>
                <c:pt idx="10">
                  <c:v>18.476971</c:v>
                </c:pt>
                <c:pt idx="11">
                  <c:v>21.184594</c:v>
                </c:pt>
                <c:pt idx="12">
                  <c:v>23.563647</c:v>
                </c:pt>
              </c:numCache>
            </c:numRef>
          </c:xVal>
          <c:yVal>
            <c:numRef>
              <c:f>'TSD PLOT'!$G$36:$G$48</c:f>
              <c:numCache>
                <c:formatCode>General</c:formatCode>
                <c:ptCount val="13"/>
                <c:pt idx="0">
                  <c:v>782.365</c:v>
                </c:pt>
                <c:pt idx="1">
                  <c:v>583.23</c:v>
                </c:pt>
                <c:pt idx="2">
                  <c:v>441.813</c:v>
                </c:pt>
                <c:pt idx="3">
                  <c:v>344.156</c:v>
                </c:pt>
                <c:pt idx="4">
                  <c:v>12.623</c:v>
                </c:pt>
                <c:pt idx="5">
                  <c:v>10.184</c:v>
                </c:pt>
                <c:pt idx="6">
                  <c:v>8.007</c:v>
                </c:pt>
                <c:pt idx="7">
                  <c:v>6.375</c:v>
                </c:pt>
                <c:pt idx="8">
                  <c:v>5.148</c:v>
                </c:pt>
                <c:pt idx="9">
                  <c:v>0.625</c:v>
                </c:pt>
                <c:pt idx="10">
                  <c:v>0.501</c:v>
                </c:pt>
                <c:pt idx="11">
                  <c:v>0.404</c:v>
                </c:pt>
                <c:pt idx="12">
                  <c:v>0.349</c:v>
                </c:pt>
              </c:numCache>
            </c:numRef>
          </c:yVal>
          <c:smooth val="0"/>
        </c:ser>
        <c:ser>
          <c:idx val="3"/>
          <c:order val="3"/>
          <c:tx>
            <c:strRef>
              <c:f>"-40C"</c:f>
              <c:strCache>
                <c:ptCount val="1"/>
                <c:pt idx="0">
                  <c:v>-40C</c:v>
                </c:pt>
              </c:strCache>
            </c:strRef>
          </c:tx>
          <c:spPr>
            <a:solidFill>
              <a:srgbClr val="7d5fa0"/>
            </a:solidFill>
            <a:ln w="28440">
              <a:solidFill>
                <a:srgbClr val="7d5fa0"/>
              </a:solidFill>
              <a:round/>
            </a:ln>
          </c:spPr>
          <c:dLbls>
            <c:txPr>
              <a:bodyPr wrap="square"/>
              <a:lstStyle/>
              <a:p>
                <a:pPr>
                  <a:defRPr sz="1000" b="0" u="none" strike="noStrike">
                    <a:solidFill>
                      <a:srgbClr val="000000"/>
                    </a:solidFill>
                    <a:uFillTx/>
                    <a:latin typeface="Calibri"/>
                  </a:defRPr>
                </a:pPr>
              </a:p>
            </c:txPr>
            <c:dLblPos val="r"/>
            <c:showLegendKey val="0"/>
            <c:showVal val="0"/>
            <c:showCatName val="0"/>
            <c:showSerName val="0"/>
            <c:showPercent val="0"/>
            <c:separator>; </c:separator>
            <c:showLeaderLines val="1"/>
            <c:leaderLines>
              <c:spPr>
                <a:ln w="28440">
                  <a:solidFill>
                    <a:srgbClr val="000000"/>
                  </a:solidFill>
                </a:ln>
              </c:spPr>
            </c:leaderLines>
            <c:extLst>
              <c:ext xmlns:c15="http://schemas.microsoft.com/office/drawing/2012/chart" uri="{CE6537A1-D6FC-4f65-9D91-7224C49458BB}">
                <c15:showLeaderLines val="1"/>
              </c:ext>
            </c:extLst>
          </c:dLbls>
          <c:xVal>
            <c:numRef>
              <c:f>'TSD PLOT'!$E$50:$E$63</c:f>
              <c:numCache>
                <c:formatCode>General</c:formatCode>
                <c:ptCount val="14"/>
                <c:pt idx="0">
                  <c:v>0.993125364</c:v>
                </c:pt>
                <c:pt idx="1">
                  <c:v>1.05002247</c:v>
                </c:pt>
                <c:pt idx="2">
                  <c:v>1.132823787</c:v>
                </c:pt>
                <c:pt idx="3">
                  <c:v>1.224447378</c:v>
                </c:pt>
                <c:pt idx="4">
                  <c:v>1.32985712</c:v>
                </c:pt>
                <c:pt idx="5">
                  <c:v>4.501844</c:v>
                </c:pt>
                <c:pt idx="6">
                  <c:v>4.841949</c:v>
                </c:pt>
                <c:pt idx="7">
                  <c:v>5.258393</c:v>
                </c:pt>
                <c:pt idx="8">
                  <c:v>5.944164</c:v>
                </c:pt>
                <c:pt idx="9">
                  <c:v>6.450255</c:v>
                </c:pt>
                <c:pt idx="10">
                  <c:v>14.795442</c:v>
                </c:pt>
                <c:pt idx="11">
                  <c:v>18.052777</c:v>
                </c:pt>
                <c:pt idx="12">
                  <c:v>19.983069</c:v>
                </c:pt>
                <c:pt idx="13">
                  <c:v>22.382984</c:v>
                </c:pt>
              </c:numCache>
            </c:numRef>
          </c:xVal>
          <c:yVal>
            <c:numRef>
              <c:f>'TSD PLOT'!$F$50:$F$63</c:f>
              <c:numCache>
                <c:formatCode>General</c:formatCode>
                <c:ptCount val="14"/>
                <c:pt idx="5">
                  <c:v>2.03101</c:v>
                </c:pt>
                <c:pt idx="6">
                  <c:v>1.365979</c:v>
                </c:pt>
                <c:pt idx="7">
                  <c:v>0.936735</c:v>
                </c:pt>
                <c:pt idx="8">
                  <c:v>0.673948</c:v>
                </c:pt>
                <c:pt idx="9">
                  <c:v>0.505132</c:v>
                </c:pt>
                <c:pt idx="10">
                  <c:v>0.036134</c:v>
                </c:pt>
                <c:pt idx="11">
                  <c:v>0.028509</c:v>
                </c:pt>
                <c:pt idx="12">
                  <c:v>0.022233</c:v>
                </c:pt>
                <c:pt idx="13">
                  <c:v>0.017659</c:v>
                </c:pt>
              </c:numCache>
            </c:numRef>
          </c:yVal>
          <c:smooth val="0"/>
        </c:ser>
        <c:axId val="11650673"/>
        <c:axId val="63437500"/>
      </c:scatterChart>
      <c:valAx>
        <c:axId val="11650673"/>
        <c:scaling>
          <c:orientation val="minMax"/>
        </c:scaling>
        <c:delete val="0"/>
        <c:axPos val="b"/>
        <c:title>
          <c:tx>
            <c:rich>
              <a:bodyPr rot="0"/>
              <a:lstStyle/>
              <a:p>
                <a:pPr>
                  <a:defRPr sz="1300" b="0" u="none" strike="noStrike">
                    <a:uFillTx/>
                    <a:latin typeface="Arial"/>
                  </a:defRPr>
                </a:pPr>
                <a:r>
                  <a:rPr lang="en-US" sz="1800" b="1" u="none" strike="noStrike">
                    <a:solidFill>
                      <a:srgbClr val="000000"/>
                    </a:solidFill>
                    <a:uFillTx/>
                    <a:latin typeface="Calibri"/>
                  </a:rPr>
                  <a:t>Power Dissipation During Steady State(W)</a:t>
                </a:r>
              </a:p>
              <a:p>
                <a:pPr>
                  <a:defRPr sz="1300" b="0" u="none" strike="noStrike">
                    <a:uFillTx/>
                    <a:latin typeface="Arial"/>
                  </a:defRPr>
                </a:pPr>
              </a:p>
            </c:rich>
          </c:tx>
          <c:layout>
            <c:manualLayout>
              <c:xMode val="edge"/>
              <c:yMode val="edge"/>
              <c:x val="0.154320987654321"/>
              <c:y val="0.908717828457525"/>
            </c:manualLayout>
          </c:layout>
          <c:overlay val="0"/>
          <c:spPr>
            <a:noFill/>
            <a:ln w="0">
              <a:noFill/>
            </a:ln>
          </c:spPr>
        </c:title>
        <c:numFmt formatCode="General"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63437500"/>
        <c:crossesAt val="0.0001"/>
        <c:crossBetween val="midCat"/>
      </c:valAx>
      <c:valAx>
        <c:axId val="63437500"/>
        <c:scaling>
          <c:logBase val="10"/>
          <c:orientation val="minMax"/>
          <c:max val="100000"/>
          <c:min val="0.0001"/>
        </c:scaling>
        <c:delete val="0"/>
        <c:axPos val="l"/>
        <c:majorGridlines>
          <c:spPr>
            <a:ln w="9360">
              <a:solidFill>
                <a:srgbClr val="878787"/>
              </a:solidFill>
              <a:round/>
            </a:ln>
          </c:spPr>
        </c:majorGridlines>
        <c:title>
          <c:tx>
            <c:rich>
              <a:bodyPr rot="-5400000"/>
              <a:lstStyle/>
              <a:p>
                <a:pPr>
                  <a:defRPr sz="1300" b="0" u="none" strike="noStrike">
                    <a:uFillTx/>
                    <a:latin typeface="Arial"/>
                  </a:defRPr>
                </a:pPr>
                <a:r>
                  <a:rPr lang="en-US" sz="1800" b="1" u="none" strike="noStrike">
                    <a:solidFill>
                      <a:srgbClr val="000000"/>
                    </a:solidFill>
                    <a:uFillTx/>
                    <a:latin typeface="Calibri"/>
                  </a:rPr>
                  <a:t>Time To Thermal Shutdwon(ms)</a:t>
                </a:r>
              </a:p>
              <a:p>
                <a:pPr>
                  <a:defRPr sz="1300" b="0" u="none" strike="noStrike">
                    <a:uFillTx/>
                    <a:latin typeface="Arial"/>
                  </a:defRPr>
                </a:pPr>
              </a:p>
            </c:rich>
          </c:tx>
          <c:overlay val="0"/>
          <c:spPr>
            <a:noFill/>
            <a:ln w="0">
              <a:noFill/>
            </a:ln>
          </c:spPr>
        </c:title>
        <c:numFmt formatCode="General" sourceLinked="0"/>
        <c:majorTickMark val="out"/>
        <c:minorTickMark val="none"/>
        <c:tickLblPos val="nextTo"/>
        <c:spPr>
          <a:ln w="9360">
            <a:solidFill>
              <a:srgbClr val="878787"/>
            </a:solidFill>
            <a:round/>
          </a:ln>
        </c:spPr>
        <c:txPr>
          <a:bodyPr/>
          <a:lstStyle/>
          <a:p>
            <a:pPr>
              <a:defRPr sz="1000" b="0" u="none" strike="noStrike">
                <a:solidFill>
                  <a:srgbClr val="000000"/>
                </a:solidFill>
                <a:uFillTx/>
                <a:latin typeface="Calibri"/>
              </a:defRPr>
            </a:pPr>
          </a:p>
        </c:txPr>
        <c:crossAx val="11650673"/>
        <c:crosses val="autoZero"/>
        <c:crossBetween val="midCat"/>
      </c:valAx>
      <c:spPr>
        <a:solidFill>
          <a:srgbClr val="ffffff"/>
        </a:solidFill>
        <a:ln w="0">
          <a:noFill/>
        </a:ln>
      </c:spPr>
    </c:plotArea>
    <c:legend>
      <c:legendPos val="r"/>
      <c:overlay val="0"/>
      <c:spPr>
        <a:noFill/>
        <a:ln w="0">
          <a:noFill/>
        </a:ln>
      </c:spPr>
      <c:txPr>
        <a:bodyPr/>
        <a:lstStyle/>
        <a:p>
          <a:pPr>
            <a:defRPr sz="1000" b="0" u="none" strike="noStrike">
              <a:solidFill>
                <a:srgbClr val="000000"/>
              </a:solidFill>
              <a:uFillTx/>
              <a:latin typeface="Calibri"/>
            </a:defRPr>
          </a:pPr>
        </a:p>
      </c:txPr>
    </c:legend>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image" Target="../media/image1.png"/><Relationship Id="rId5" Type="http://schemas.openxmlformats.org/officeDocument/2006/relationships/image" Target="../media/image2.png"/>
</Relationships>
</file>

<file path=xl/drawings/_rels/drawing2.xml.rels><?xml version="1.0" encoding="UTF-8"?>
<Relationships xmlns="http://schemas.openxmlformats.org/package/2006/relationships"><Relationship Id="rId1" Type="http://schemas.openxmlformats.org/officeDocument/2006/relationships/chart" Target="../charts/chart4.xml"/>
</Relationships>
</file>

<file path=xl/drawings/_rels/drawing3.xml.rels><?xml version="1.0" encoding="UTF-8"?>
<Relationships xmlns="http://schemas.openxmlformats.org/package/2006/relationships"><Relationship Id="rId1" Type="http://schemas.openxmlformats.org/officeDocument/2006/relationships/chart" Target="../charts/chart5.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861120</xdr:colOff>
      <xdr:row>37</xdr:row>
      <xdr:rowOff>110880</xdr:rowOff>
    </xdr:from>
    <xdr:to>
      <xdr:col>14</xdr:col>
      <xdr:colOff>1068840</xdr:colOff>
      <xdr:row>37</xdr:row>
      <xdr:rowOff>177120</xdr:rowOff>
    </xdr:to>
    <xdr:graphicFrame>
      <xdr:nvGraphicFramePr>
        <xdr:cNvPr id="1" name="Chart 8"/>
        <xdr:cNvGraphicFramePr/>
      </xdr:nvGraphicFramePr>
      <xdr:xfrm>
        <a:off x="11044080" y="9198360"/>
        <a:ext cx="10752480" cy="662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482760</xdr:colOff>
      <xdr:row>24</xdr:row>
      <xdr:rowOff>223920</xdr:rowOff>
    </xdr:from>
    <xdr:to>
      <xdr:col>14</xdr:col>
      <xdr:colOff>1447560</xdr:colOff>
      <xdr:row>33</xdr:row>
      <xdr:rowOff>203400</xdr:rowOff>
    </xdr:to>
    <xdr:graphicFrame>
      <xdr:nvGraphicFramePr>
        <xdr:cNvPr id="2" name="Chart 3"/>
        <xdr:cNvGraphicFramePr/>
      </xdr:nvGraphicFramePr>
      <xdr:xfrm>
        <a:off x="11917080" y="6226560"/>
        <a:ext cx="10258200" cy="2149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189360</xdr:colOff>
      <xdr:row>39</xdr:row>
      <xdr:rowOff>107640</xdr:rowOff>
    </xdr:from>
    <xdr:to>
      <xdr:col>14</xdr:col>
      <xdr:colOff>1525320</xdr:colOff>
      <xdr:row>67</xdr:row>
      <xdr:rowOff>143640</xdr:rowOff>
    </xdr:to>
    <xdr:graphicFrame>
      <xdr:nvGraphicFramePr>
        <xdr:cNvPr id="3" name="Chart 5"/>
        <xdr:cNvGraphicFramePr/>
      </xdr:nvGraphicFramePr>
      <xdr:xfrm>
        <a:off x="12350880" y="9652320"/>
        <a:ext cx="9902160" cy="332208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2263680</xdr:colOff>
      <xdr:row>9</xdr:row>
      <xdr:rowOff>254880</xdr:rowOff>
    </xdr:from>
    <xdr:to>
      <xdr:col>19</xdr:col>
      <xdr:colOff>1760760</xdr:colOff>
      <xdr:row>33</xdr:row>
      <xdr:rowOff>113760</xdr:rowOff>
    </xdr:to>
    <xdr:pic>
      <xdr:nvPicPr>
        <xdr:cNvPr id="4" name="Picture 1"/>
        <xdr:cNvPicPr/>
      </xdr:nvPicPr>
      <xdr:blipFill>
        <a:blip r:embed="rId4"/>
        <a:stretch/>
      </xdr:blipFill>
      <xdr:spPr>
        <a:xfrm>
          <a:off x="22991400" y="2971440"/>
          <a:ext cx="11390040" cy="5315400"/>
        </a:xfrm>
        <a:prstGeom prst="rect">
          <a:avLst/>
        </a:prstGeom>
        <a:noFill/>
        <a:ln w="47625">
          <a:solidFill>
            <a:srgbClr val="4f81bd"/>
          </a:solidFill>
          <a:round/>
        </a:ln>
      </xdr:spPr>
    </xdr:pic>
    <xdr:clientData/>
  </xdr:twoCellAnchor>
  <xdr:twoCellAnchor editAs="oneCell">
    <xdr:from>
      <xdr:col>9</xdr:col>
      <xdr:colOff>0</xdr:colOff>
      <xdr:row>1</xdr:row>
      <xdr:rowOff>112680</xdr:rowOff>
    </xdr:from>
    <xdr:to>
      <xdr:col>14</xdr:col>
      <xdr:colOff>388080</xdr:colOff>
      <xdr:row>16</xdr:row>
      <xdr:rowOff>325800</xdr:rowOff>
    </xdr:to>
    <xdr:pic>
      <xdr:nvPicPr>
        <xdr:cNvPr id="5" name="Picture 2"/>
        <xdr:cNvPicPr/>
      </xdr:nvPicPr>
      <xdr:blipFill>
        <a:blip r:embed="rId5"/>
        <a:stretch/>
      </xdr:blipFill>
      <xdr:spPr>
        <a:xfrm>
          <a:off x="13084920" y="341280"/>
          <a:ext cx="8030880" cy="3958200"/>
        </a:xfrm>
        <a:prstGeom prst="rect">
          <a:avLst/>
        </a:prstGeom>
        <a:noFill/>
        <a:ln w="41275">
          <a:solidFill>
            <a:srgbClr val="4f81bd"/>
          </a:solidFill>
          <a:round/>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552600</xdr:colOff>
      <xdr:row>1</xdr:row>
      <xdr:rowOff>128520</xdr:rowOff>
    </xdr:from>
    <xdr:to>
      <xdr:col>16</xdr:col>
      <xdr:colOff>77760</xdr:colOff>
      <xdr:row>15</xdr:row>
      <xdr:rowOff>176040</xdr:rowOff>
    </xdr:to>
    <xdr:graphicFrame>
      <xdr:nvGraphicFramePr>
        <xdr:cNvPr id="6" name="Chart 1"/>
        <xdr:cNvGraphicFramePr/>
      </xdr:nvGraphicFramePr>
      <xdr:xfrm>
        <a:off x="7038000" y="309600"/>
        <a:ext cx="5605920" cy="2581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317520</xdr:colOff>
      <xdr:row>7</xdr:row>
      <xdr:rowOff>30240</xdr:rowOff>
    </xdr:from>
    <xdr:to>
      <xdr:col>16</xdr:col>
      <xdr:colOff>277560</xdr:colOff>
      <xdr:row>41</xdr:row>
      <xdr:rowOff>17280</xdr:rowOff>
    </xdr:to>
    <xdr:graphicFrame>
      <xdr:nvGraphicFramePr>
        <xdr:cNvPr id="7" name="Chart 1"/>
        <xdr:cNvGraphicFramePr/>
      </xdr:nvGraphicFramePr>
      <xdr:xfrm>
        <a:off x="8403120" y="1297080"/>
        <a:ext cx="5365080" cy="6140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http://www.rfcafe.com/references/electrical/capacitor-values.htm" TargetMode="Externa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AS128"/>
  <sheetViews>
    <sheetView showFormulas="false" showGridLines="false" showRowColHeaders="true" showZeros="true" rightToLeft="false" tabSelected="true" showOutlineSymbols="true" defaultGridColor="true" view="normal" topLeftCell="A4" colorId="64" zoomScale="62" zoomScaleNormal="62" zoomScalePageLayoutView="100" workbookViewId="0">
      <selection pane="topLeft" activeCell="D10" activeCellId="0" sqref="D10"/>
    </sheetView>
  </sheetViews>
  <sheetFormatPr defaultColWidth="9.08984375" defaultRowHeight="18" customHeight="true" zeroHeight="false" outlineLevelRow="0" outlineLevelCol="0"/>
  <cols>
    <col collapsed="false" customWidth="true" hidden="false" outlineLevel="0" max="1" min="1" style="1" width="2.45"/>
    <col collapsed="false" customWidth="true" hidden="false" outlineLevel="0" max="2" min="2" style="1" width="26.37"/>
    <col collapsed="false" customWidth="true" hidden="false" outlineLevel="0" max="3" min="3" style="2" width="64.09"/>
    <col collapsed="false" customWidth="true" hidden="false" outlineLevel="0" max="4" min="4" style="3" width="17.36"/>
    <col collapsed="false" customWidth="true" hidden="false" outlineLevel="0" max="5" min="5" style="1" width="7.91"/>
    <col collapsed="false" customWidth="false" hidden="false" outlineLevel="0" max="6" min="6" style="4" width="9.09"/>
    <col collapsed="false" customWidth="true" hidden="false" outlineLevel="0" max="7" min="7" style="5" width="15.64"/>
    <col collapsed="false" customWidth="false" hidden="false" outlineLevel="0" max="8" min="8" style="1" width="9.09"/>
    <col collapsed="false" customWidth="true" hidden="false" outlineLevel="0" max="9" min="9" style="1" width="11.54"/>
    <col collapsed="false" customWidth="true" hidden="false" outlineLevel="0" max="10" min="10" style="1" width="36.09"/>
    <col collapsed="false" customWidth="true" hidden="false" outlineLevel="0" max="11" min="11" style="1" width="24.18"/>
    <col collapsed="false" customWidth="true" hidden="false" outlineLevel="0" max="12" min="12" style="1" width="12.9"/>
    <col collapsed="false" customWidth="true" hidden="false" outlineLevel="0" max="13" min="13" style="1" width="6.54"/>
    <col collapsed="false" customWidth="true" hidden="false" outlineLevel="0" max="14" min="14" style="1" width="15.82"/>
    <col collapsed="false" customWidth="true" hidden="false" outlineLevel="0" max="15" min="15" style="1" width="36.09"/>
    <col collapsed="false" customWidth="true" hidden="false" outlineLevel="0" max="16" min="16" style="1" width="15.64"/>
    <col collapsed="false" customWidth="true" hidden="false" outlineLevel="0" max="17" min="17" style="1" width="34.91"/>
    <col collapsed="false" customWidth="true" hidden="false" outlineLevel="0" max="20" min="18" style="1" width="31"/>
    <col collapsed="false" customWidth="true" hidden="false" outlineLevel="0" max="21" min="21" style="4" width="27.45"/>
    <col collapsed="false" customWidth="true" hidden="false" outlineLevel="0" max="22" min="22" style="4" width="14.45"/>
    <col collapsed="false" customWidth="false" hidden="false" outlineLevel="0" max="23" min="23" style="6" width="9.09"/>
    <col collapsed="false" customWidth="true" hidden="false" outlineLevel="0" max="24" min="24" style="1" width="19.73"/>
    <col collapsed="false" customWidth="true" hidden="false" outlineLevel="0" max="25" min="25" style="1" width="28.36"/>
    <col collapsed="false" customWidth="true" hidden="false" outlineLevel="0" max="26" min="26" style="1" width="16.9"/>
    <col collapsed="false" customWidth="true" hidden="false" outlineLevel="0" max="27" min="27" style="1" width="22"/>
    <col collapsed="false" customWidth="false" hidden="false" outlineLevel="0" max="16384" min="28" style="1" width="9.09"/>
  </cols>
  <sheetData>
    <row r="1" customFormat="false" ht="18" hidden="false" customHeight="true" outlineLevel="0" collapsed="false">
      <c r="B1" s="7" t="s">
        <v>0</v>
      </c>
      <c r="C1" s="7"/>
      <c r="D1" s="7"/>
      <c r="E1" s="7"/>
      <c r="F1" s="7"/>
      <c r="G1" s="7"/>
    </row>
    <row r="2" customFormat="false" ht="19.7" hidden="false" customHeight="false" outlineLevel="0" collapsed="false">
      <c r="B2" s="8"/>
      <c r="C2" s="8"/>
      <c r="D2" s="9"/>
      <c r="E2" s="6"/>
      <c r="F2" s="10"/>
      <c r="P2" s="11" t="s">
        <v>1</v>
      </c>
      <c r="Q2" s="11"/>
      <c r="R2" s="11"/>
      <c r="S2" s="11"/>
      <c r="T2" s="11"/>
      <c r="U2" s="11"/>
    </row>
    <row r="3" customFormat="false" ht="27.75" hidden="false" customHeight="true" outlineLevel="0" collapsed="false">
      <c r="B3" s="12"/>
      <c r="C3" s="13" t="s">
        <v>2</v>
      </c>
      <c r="D3" s="9"/>
      <c r="E3" s="6"/>
      <c r="F3" s="10"/>
      <c r="P3" s="14" t="s">
        <v>3</v>
      </c>
      <c r="Q3" s="14" t="s">
        <v>4</v>
      </c>
      <c r="R3" s="14" t="s">
        <v>5</v>
      </c>
      <c r="S3" s="14" t="s">
        <v>6</v>
      </c>
      <c r="T3" s="14" t="s">
        <v>7</v>
      </c>
      <c r="U3" s="14" t="s">
        <v>8</v>
      </c>
      <c r="W3" s="6" t="n">
        <v>3.8</v>
      </c>
      <c r="X3" s="1" t="n">
        <v>5.7</v>
      </c>
      <c r="Y3" s="1" t="n">
        <v>13.8</v>
      </c>
    </row>
    <row r="4" customFormat="false" ht="25.5" hidden="false" customHeight="true" outlineLevel="0" collapsed="false">
      <c r="B4" s="15"/>
      <c r="C4" s="16" t="s">
        <v>9</v>
      </c>
      <c r="D4" s="9"/>
      <c r="E4" s="6"/>
      <c r="F4" s="10"/>
      <c r="P4" s="17" t="s">
        <v>10</v>
      </c>
      <c r="Q4" s="18" t="s">
        <v>11</v>
      </c>
      <c r="R4" s="18" t="s">
        <v>12</v>
      </c>
      <c r="S4" s="18" t="s">
        <v>13</v>
      </c>
      <c r="T4" s="18" t="s">
        <v>14</v>
      </c>
      <c r="U4" s="18" t="s">
        <v>15</v>
      </c>
      <c r="W4" s="6" t="s">
        <v>16</v>
      </c>
      <c r="X4" s="1" t="s">
        <v>17</v>
      </c>
      <c r="Y4" s="1" t="n">
        <v>390</v>
      </c>
    </row>
    <row r="5" customFormat="false" ht="26.25" hidden="false" customHeight="true" outlineLevel="0" collapsed="false">
      <c r="B5" s="19"/>
      <c r="C5" s="20" t="s">
        <v>18</v>
      </c>
      <c r="D5" s="9"/>
      <c r="E5" s="6"/>
      <c r="F5" s="10"/>
      <c r="P5" s="17" t="s">
        <v>19</v>
      </c>
      <c r="Q5" s="18" t="s">
        <v>11</v>
      </c>
      <c r="R5" s="18" t="s">
        <v>12</v>
      </c>
      <c r="S5" s="18" t="s">
        <v>13</v>
      </c>
      <c r="T5" s="18" t="s">
        <v>14</v>
      </c>
      <c r="U5" s="18" t="s">
        <v>20</v>
      </c>
    </row>
    <row r="6" customFormat="false" ht="23.25" hidden="false" customHeight="true" outlineLevel="0" collapsed="false">
      <c r="B6" s="21"/>
      <c r="C6" s="16" t="s">
        <v>21</v>
      </c>
      <c r="D6" s="22"/>
      <c r="E6" s="6"/>
      <c r="F6" s="10"/>
      <c r="G6" s="22"/>
      <c r="M6" s="23"/>
      <c r="P6" s="17" t="s">
        <v>22</v>
      </c>
      <c r="Q6" s="24" t="s">
        <v>23</v>
      </c>
      <c r="R6" s="18" t="s">
        <v>12</v>
      </c>
      <c r="S6" s="18" t="s">
        <v>24</v>
      </c>
      <c r="T6" s="18" t="s">
        <v>25</v>
      </c>
      <c r="U6" s="18" t="s">
        <v>15</v>
      </c>
      <c r="W6" s="25"/>
    </row>
    <row r="7" customFormat="false" ht="24" hidden="false" customHeight="true" outlineLevel="0" collapsed="false">
      <c r="B7" s="26"/>
      <c r="C7" s="27" t="s">
        <v>26</v>
      </c>
      <c r="D7" s="9"/>
      <c r="E7" s="6"/>
      <c r="F7" s="10"/>
      <c r="G7" s="22"/>
      <c r="M7" s="28"/>
      <c r="N7" s="25"/>
      <c r="O7" s="10"/>
      <c r="P7" s="17" t="s">
        <v>27</v>
      </c>
      <c r="Q7" s="24" t="s">
        <v>28</v>
      </c>
      <c r="R7" s="18" t="s">
        <v>12</v>
      </c>
      <c r="S7" s="18" t="s">
        <v>24</v>
      </c>
      <c r="T7" s="18" t="s">
        <v>25</v>
      </c>
      <c r="U7" s="18" t="s">
        <v>20</v>
      </c>
      <c r="W7" s="10"/>
    </row>
    <row r="8" customFormat="false" ht="18" hidden="false" customHeight="true" outlineLevel="0" collapsed="false">
      <c r="B8" s="29"/>
      <c r="C8" s="30"/>
      <c r="D8" s="31"/>
      <c r="E8" s="32"/>
      <c r="F8" s="33"/>
      <c r="G8" s="34"/>
      <c r="M8" s="28"/>
      <c r="N8" s="25"/>
      <c r="O8" s="10"/>
      <c r="P8" s="17" t="s">
        <v>29</v>
      </c>
      <c r="Q8" s="18" t="s">
        <v>11</v>
      </c>
      <c r="R8" s="18" t="s">
        <v>30</v>
      </c>
      <c r="S8" s="18" t="s">
        <v>24</v>
      </c>
      <c r="T8" s="18" t="s">
        <v>25</v>
      </c>
      <c r="U8" s="18" t="s">
        <v>31</v>
      </c>
      <c r="W8" s="10"/>
    </row>
    <row r="9" customFormat="false" ht="31.45" hidden="false" customHeight="false" outlineLevel="0" collapsed="false">
      <c r="B9" s="35" t="s">
        <v>32</v>
      </c>
      <c r="C9" s="36" t="s">
        <v>33</v>
      </c>
      <c r="D9" s="37" t="s">
        <v>34</v>
      </c>
      <c r="E9" s="38" t="s">
        <v>35</v>
      </c>
      <c r="F9" s="39" t="s">
        <v>36</v>
      </c>
      <c r="G9" s="40" t="s">
        <v>37</v>
      </c>
      <c r="M9" s="28"/>
      <c r="N9" s="25"/>
      <c r="O9" s="10"/>
      <c r="P9" s="17" t="s">
        <v>38</v>
      </c>
      <c r="Q9" s="18" t="s">
        <v>11</v>
      </c>
      <c r="R9" s="18" t="s">
        <v>30</v>
      </c>
      <c r="S9" s="18" t="s">
        <v>24</v>
      </c>
      <c r="T9" s="18" t="s">
        <v>25</v>
      </c>
      <c r="U9" s="18" t="s">
        <v>20</v>
      </c>
      <c r="W9" s="10"/>
    </row>
    <row r="10" customFormat="false" ht="30.75" hidden="false" customHeight="true" outlineLevel="0" collapsed="false">
      <c r="B10" s="41" t="s">
        <v>39</v>
      </c>
      <c r="C10" s="42" t="s">
        <v>40</v>
      </c>
      <c r="D10" s="43" t="s">
        <v>38</v>
      </c>
      <c r="E10" s="44"/>
      <c r="F10" s="45"/>
      <c r="W10" s="10"/>
    </row>
    <row r="11" customFormat="false" ht="30.75" hidden="false" customHeight="true" outlineLevel="0" collapsed="false">
      <c r="B11" s="46" t="s">
        <v>41</v>
      </c>
      <c r="C11" s="47" t="s">
        <v>42</v>
      </c>
      <c r="D11" s="48" t="n">
        <v>12</v>
      </c>
      <c r="E11" s="49" t="s">
        <v>43</v>
      </c>
      <c r="F11" s="50"/>
      <c r="W11" s="10"/>
    </row>
    <row r="12" customFormat="false" ht="13.5" hidden="true" customHeight="true" outlineLevel="0" collapsed="false">
      <c r="B12" s="46" t="s">
        <v>41</v>
      </c>
      <c r="C12" s="47" t="s">
        <v>42</v>
      </c>
      <c r="D12" s="48" t="n">
        <v>12</v>
      </c>
      <c r="E12" s="49" t="s">
        <v>43</v>
      </c>
      <c r="F12" s="50"/>
      <c r="W12" s="10"/>
    </row>
    <row r="13" customFormat="false" ht="19.5" hidden="false" customHeight="true" outlineLevel="0" collapsed="false">
      <c r="B13" s="46" t="s">
        <v>44</v>
      </c>
      <c r="C13" s="47" t="s">
        <v>45</v>
      </c>
      <c r="D13" s="48" t="n">
        <v>13.8</v>
      </c>
      <c r="E13" s="51" t="s">
        <v>43</v>
      </c>
      <c r="F13" s="52" t="n">
        <v>0.035</v>
      </c>
      <c r="W13" s="10"/>
    </row>
    <row r="14" customFormat="false" ht="15.75" hidden="true" customHeight="true" outlineLevel="0" collapsed="false">
      <c r="B14" s="46" t="s">
        <v>46</v>
      </c>
      <c r="C14" s="47" t="s">
        <v>47</v>
      </c>
      <c r="D14" s="53" t="n">
        <f aca="false">IF(D10=P4,D12, IF(D10=P5,D12, IF(D10=P6,D11, IF(D10=P7,D11,IF(D10=P8,D12,D12)))))</f>
        <v>12</v>
      </c>
      <c r="E14" s="49" t="s">
        <v>43</v>
      </c>
      <c r="F14" s="50"/>
      <c r="W14" s="10"/>
    </row>
    <row r="15" customFormat="false" ht="15" hidden="true" customHeight="true" outlineLevel="0" collapsed="false">
      <c r="B15" s="46" t="s">
        <v>48</v>
      </c>
      <c r="C15" s="47" t="s">
        <v>49</v>
      </c>
      <c r="D15" s="48" t="n">
        <v>13.2</v>
      </c>
      <c r="E15" s="51" t="s">
        <v>43</v>
      </c>
      <c r="F15" s="52" t="n">
        <v>0.03</v>
      </c>
      <c r="M15" s="28"/>
      <c r="N15" s="33"/>
      <c r="O15" s="33"/>
      <c r="W15" s="10"/>
    </row>
    <row r="16" customFormat="false" ht="18" hidden="false" customHeight="false" outlineLevel="0" collapsed="false">
      <c r="B16" s="46" t="s">
        <v>50</v>
      </c>
      <c r="C16" s="47" t="s">
        <v>51</v>
      </c>
      <c r="D16" s="48" t="n">
        <v>10.8</v>
      </c>
      <c r="E16" s="49" t="s">
        <v>43</v>
      </c>
      <c r="F16" s="52" t="n">
        <v>0.03</v>
      </c>
      <c r="M16" s="54"/>
      <c r="U16" s="33"/>
      <c r="V16" s="33"/>
      <c r="W16" s="10"/>
    </row>
    <row r="17" customFormat="false" ht="33.75" hidden="false" customHeight="true" outlineLevel="0" collapsed="false">
      <c r="B17" s="46" t="s">
        <v>52</v>
      </c>
      <c r="C17" s="55" t="s">
        <v>53</v>
      </c>
      <c r="D17" s="56" t="n">
        <v>2.53</v>
      </c>
      <c r="E17" s="49" t="s">
        <v>43</v>
      </c>
      <c r="F17" s="52" t="n">
        <v>0.03</v>
      </c>
      <c r="G17" s="57"/>
      <c r="M17" s="54"/>
      <c r="N17" s="28"/>
      <c r="O17" s="58"/>
      <c r="P17" s="28"/>
      <c r="Q17" s="28"/>
      <c r="R17" s="28"/>
      <c r="S17" s="28"/>
      <c r="T17" s="28"/>
      <c r="U17" s="33"/>
      <c r="V17" s="33"/>
      <c r="W17" s="10"/>
    </row>
    <row r="18" customFormat="false" ht="18" hidden="false" customHeight="true" outlineLevel="0" collapsed="false">
      <c r="B18" s="46" t="s">
        <v>54</v>
      </c>
      <c r="C18" s="47" t="s">
        <v>55</v>
      </c>
      <c r="D18" s="59" t="n">
        <v>470</v>
      </c>
      <c r="E18" s="49" t="s">
        <v>56</v>
      </c>
      <c r="F18" s="60" t="n">
        <v>0.1</v>
      </c>
      <c r="G18" s="57"/>
      <c r="M18" s="54"/>
      <c r="N18" s="28"/>
      <c r="O18" s="28"/>
      <c r="P18" s="28"/>
      <c r="Q18" s="58"/>
      <c r="R18" s="58"/>
      <c r="S18" s="58"/>
      <c r="T18" s="58"/>
      <c r="U18" s="33"/>
      <c r="V18" s="33"/>
      <c r="W18" s="10"/>
    </row>
    <row r="19" customFormat="false" ht="18" hidden="false" customHeight="false" outlineLevel="0" collapsed="false">
      <c r="B19" s="46" t="s">
        <v>57</v>
      </c>
      <c r="C19" s="61" t="s">
        <v>58</v>
      </c>
      <c r="D19" s="59" t="n">
        <v>5</v>
      </c>
      <c r="E19" s="49" t="s">
        <v>59</v>
      </c>
      <c r="F19" s="50"/>
      <c r="G19" s="62" t="n">
        <f aca="false">Vcc_max/Imax</f>
        <v>2.18181818181818</v>
      </c>
      <c r="M19" s="54"/>
      <c r="N19" s="28"/>
      <c r="O19" s="28"/>
      <c r="P19" s="28"/>
      <c r="Q19" s="28"/>
      <c r="R19" s="28"/>
      <c r="S19" s="28"/>
      <c r="T19" s="28"/>
      <c r="U19" s="33"/>
      <c r="V19" s="33"/>
      <c r="W19" s="10"/>
    </row>
    <row r="20" customFormat="false" ht="18" hidden="false" customHeight="false" outlineLevel="0" collapsed="false">
      <c r="B20" s="46" t="s">
        <v>60</v>
      </c>
      <c r="C20" s="61" t="s">
        <v>61</v>
      </c>
      <c r="D20" s="63" t="n">
        <v>0</v>
      </c>
      <c r="E20" s="49" t="s">
        <v>43</v>
      </c>
      <c r="F20" s="50"/>
      <c r="M20" s="54"/>
      <c r="N20" s="28"/>
      <c r="O20" s="28"/>
      <c r="P20" s="28"/>
      <c r="Q20" s="28"/>
      <c r="R20" s="28"/>
      <c r="S20" s="28"/>
      <c r="T20" s="28"/>
      <c r="U20" s="33"/>
      <c r="V20" s="33"/>
      <c r="W20" s="10"/>
    </row>
    <row r="21" customFormat="false" ht="18" hidden="false" customHeight="true" outlineLevel="0" collapsed="false">
      <c r="B21" s="46" t="s">
        <v>62</v>
      </c>
      <c r="C21" s="47" t="s">
        <v>63</v>
      </c>
      <c r="D21" s="48" t="n">
        <v>5.5</v>
      </c>
      <c r="E21" s="49" t="s">
        <v>64</v>
      </c>
      <c r="F21" s="50"/>
      <c r="G21" s="57"/>
      <c r="M21" s="54"/>
      <c r="N21" s="28"/>
      <c r="O21" s="28"/>
      <c r="P21" s="28"/>
      <c r="Q21" s="28"/>
      <c r="R21" s="28"/>
      <c r="S21" s="28"/>
      <c r="T21" s="28"/>
      <c r="U21" s="33"/>
      <c r="V21" s="33"/>
      <c r="W21" s="10"/>
    </row>
    <row r="22" customFormat="false" ht="18" hidden="false" customHeight="true" outlineLevel="0" collapsed="false">
      <c r="B22" s="46" t="s">
        <v>65</v>
      </c>
      <c r="C22" s="47" t="s">
        <v>66</v>
      </c>
      <c r="D22" s="64" t="n">
        <f aca="false">IF(1.105*Imax&lt;0.5, 0.5, IF(1.105*Imax&gt;6, 6,1.105*Imax ))</f>
        <v>6</v>
      </c>
      <c r="E22" s="65" t="s">
        <v>64</v>
      </c>
      <c r="F22" s="50"/>
      <c r="G22" s="57"/>
      <c r="M22" s="54"/>
      <c r="N22" s="28"/>
      <c r="O22" s="28"/>
      <c r="P22" s="28"/>
      <c r="Q22" s="28"/>
      <c r="R22" s="28"/>
      <c r="S22" s="28"/>
      <c r="T22" s="28"/>
      <c r="U22" s="33"/>
      <c r="V22" s="33"/>
      <c r="W22" s="10"/>
    </row>
    <row r="23" customFormat="false" ht="18" hidden="false" customHeight="true" outlineLevel="0" collapsed="false">
      <c r="B23" s="66" t="s">
        <v>67</v>
      </c>
      <c r="C23" s="67" t="s">
        <v>68</v>
      </c>
      <c r="D23" s="63" t="n">
        <v>2</v>
      </c>
      <c r="E23" s="68" t="s">
        <v>69</v>
      </c>
      <c r="F23" s="69"/>
      <c r="G23" s="57"/>
      <c r="M23" s="54"/>
      <c r="N23" s="28"/>
      <c r="O23" s="28"/>
      <c r="P23" s="28"/>
      <c r="Q23" s="28"/>
      <c r="R23" s="28"/>
      <c r="S23" s="28"/>
      <c r="T23" s="28"/>
      <c r="U23" s="33"/>
      <c r="V23" s="33"/>
      <c r="W23" s="10"/>
    </row>
    <row r="24" customFormat="false" ht="18" hidden="false" customHeight="true" outlineLevel="0" collapsed="false">
      <c r="B24" s="70" t="s">
        <v>70</v>
      </c>
      <c r="C24" s="71" t="s">
        <v>71</v>
      </c>
      <c r="D24" s="72" t="n">
        <v>85</v>
      </c>
      <c r="E24" s="73" t="s">
        <v>72</v>
      </c>
      <c r="F24" s="74"/>
      <c r="G24" s="57"/>
      <c r="M24" s="54"/>
      <c r="N24" s="28"/>
      <c r="O24" s="28"/>
      <c r="P24" s="28"/>
      <c r="Q24" s="28"/>
      <c r="R24" s="28"/>
      <c r="S24" s="28"/>
      <c r="T24" s="28"/>
      <c r="U24" s="33"/>
      <c r="V24" s="33"/>
      <c r="W24" s="10"/>
    </row>
    <row r="25" customFormat="false" ht="18" hidden="false" customHeight="false" outlineLevel="0" collapsed="false">
      <c r="G25" s="57"/>
      <c r="M25" s="54"/>
      <c r="N25" s="28"/>
      <c r="O25" s="28"/>
      <c r="P25" s="28"/>
      <c r="Q25" s="28"/>
      <c r="R25" s="28"/>
      <c r="S25" s="28"/>
      <c r="T25" s="28"/>
      <c r="U25" s="33"/>
      <c r="V25" s="33"/>
      <c r="W25" s="10"/>
    </row>
    <row r="26" customFormat="false" ht="22.45" hidden="false" customHeight="false" outlineLevel="0" collapsed="false">
      <c r="B26" s="75" t="s">
        <v>73</v>
      </c>
      <c r="C26" s="75"/>
      <c r="D26" s="76"/>
      <c r="E26" s="77"/>
      <c r="F26" s="78"/>
      <c r="G26" s="57"/>
      <c r="M26" s="54"/>
      <c r="N26" s="28"/>
      <c r="O26" s="28"/>
      <c r="P26" s="28"/>
      <c r="Q26" s="28"/>
      <c r="R26" s="28"/>
      <c r="S26" s="28"/>
      <c r="T26" s="28"/>
      <c r="U26" s="33"/>
      <c r="V26" s="33"/>
      <c r="W26" s="10"/>
    </row>
    <row r="27" customFormat="false" ht="18" hidden="false" customHeight="false" outlineLevel="0" collapsed="false">
      <c r="B27" s="79" t="s">
        <v>74</v>
      </c>
      <c r="C27" s="80" t="s">
        <v>75</v>
      </c>
      <c r="D27" s="81" t="n">
        <f aca="false">D13</f>
        <v>13.8</v>
      </c>
      <c r="E27" s="82" t="s">
        <v>43</v>
      </c>
      <c r="F27" s="52" t="n">
        <v>0.035</v>
      </c>
      <c r="G27" s="83"/>
    </row>
    <row r="28" customFormat="false" ht="18" hidden="false" customHeight="false" outlineLevel="0" collapsed="false">
      <c r="B28" s="70" t="s">
        <v>76</v>
      </c>
      <c r="C28" s="71" t="s">
        <v>77</v>
      </c>
      <c r="D28" s="84" t="n">
        <f aca="false">INDEX(W4:Y4,MATCH(D27,W3:Y3))</f>
        <v>390</v>
      </c>
      <c r="E28" s="85" t="s">
        <v>78</v>
      </c>
      <c r="F28" s="86"/>
      <c r="G28" s="83"/>
    </row>
    <row r="29" customFormat="false" ht="18" hidden="false" customHeight="false" outlineLevel="0" collapsed="false">
      <c r="G29" s="83"/>
    </row>
    <row r="30" customFormat="false" ht="22.45" hidden="false" customHeight="false" outlineLevel="0" collapsed="false">
      <c r="B30" s="87" t="s">
        <v>79</v>
      </c>
      <c r="C30" s="87"/>
      <c r="D30" s="88"/>
      <c r="E30" s="89"/>
      <c r="F30" s="90"/>
      <c r="G30" s="83"/>
    </row>
    <row r="31" customFormat="false" ht="18" hidden="false" customHeight="false" outlineLevel="0" collapsed="false">
      <c r="B31" s="46" t="s">
        <v>50</v>
      </c>
      <c r="C31" s="91" t="s">
        <v>51</v>
      </c>
      <c r="D31" s="92" t="n">
        <f aca="false">D16</f>
        <v>10.8</v>
      </c>
      <c r="E31" s="93" t="s">
        <v>43</v>
      </c>
      <c r="F31" s="52" t="n">
        <v>0.03</v>
      </c>
      <c r="G31" s="83"/>
    </row>
    <row r="32" customFormat="false" ht="18" hidden="false" customHeight="false" outlineLevel="0" collapsed="false">
      <c r="B32" s="46" t="s">
        <v>80</v>
      </c>
      <c r="C32" s="47" t="s">
        <v>81</v>
      </c>
      <c r="D32" s="59" t="n">
        <v>470</v>
      </c>
      <c r="E32" s="49" t="s">
        <v>78</v>
      </c>
      <c r="F32" s="60" t="n">
        <v>0.01</v>
      </c>
      <c r="G32" s="83"/>
      <c r="K32" s="94" t="n">
        <f aca="false">D37</f>
        <v>9.86271186440678</v>
      </c>
      <c r="L32" s="95" t="s">
        <v>82</v>
      </c>
    </row>
    <row r="33" customFormat="false" ht="18" hidden="false" customHeight="false" outlineLevel="0" collapsed="false">
      <c r="B33" s="46" t="s">
        <v>83</v>
      </c>
      <c r="C33" s="47" t="s">
        <v>84</v>
      </c>
      <c r="D33" s="96" t="n">
        <f aca="false">D32/(D31/OVref -1)</f>
        <v>58.75</v>
      </c>
      <c r="E33" s="51" t="s">
        <v>78</v>
      </c>
      <c r="F33" s="97"/>
      <c r="G33" s="83"/>
      <c r="K33" s="94" t="n">
        <f aca="false">D36</f>
        <v>10.7593220338983</v>
      </c>
      <c r="L33" s="95" t="s">
        <v>85</v>
      </c>
    </row>
    <row r="34" customFormat="false" ht="18" hidden="false" customHeight="false" outlineLevel="0" collapsed="false">
      <c r="B34" s="98" t="s">
        <v>86</v>
      </c>
      <c r="C34" s="98"/>
      <c r="D34" s="98"/>
      <c r="E34" s="99"/>
      <c r="F34" s="100"/>
      <c r="G34" s="83"/>
      <c r="K34" s="101" t="n">
        <f aca="false">D27</f>
        <v>13.8</v>
      </c>
      <c r="L34" s="95" t="s">
        <v>87</v>
      </c>
    </row>
    <row r="35" customFormat="false" ht="18" hidden="false" customHeight="false" outlineLevel="0" collapsed="false">
      <c r="B35" s="46" t="s">
        <v>88</v>
      </c>
      <c r="C35" s="47" t="s">
        <v>89</v>
      </c>
      <c r="D35" s="102" t="n">
        <f aca="false">G35</f>
        <v>59</v>
      </c>
      <c r="E35" s="51" t="s">
        <v>78</v>
      </c>
      <c r="F35" s="103" t="n">
        <f aca="false">F32</f>
        <v>0.01</v>
      </c>
      <c r="G35" s="83" t="n">
        <f aca="false">L56/L55*D33</f>
        <v>59</v>
      </c>
    </row>
    <row r="36" customFormat="false" ht="18" hidden="false" customHeight="false" outlineLevel="0" collapsed="false">
      <c r="B36" s="46" t="s">
        <v>90</v>
      </c>
      <c r="C36" s="47" t="s">
        <v>91</v>
      </c>
      <c r="D36" s="104" t="n">
        <f aca="false">OVref*(1+D32/D35)</f>
        <v>10.7593220338983</v>
      </c>
      <c r="E36" s="51" t="s">
        <v>43</v>
      </c>
      <c r="F36" s="105" t="n">
        <f aca="false">SQRT(F126^2+F32^2+F35^2)</f>
        <v>0.033166247903554</v>
      </c>
      <c r="G36" s="83"/>
      <c r="K36" s="106"/>
      <c r="L36" s="107"/>
    </row>
    <row r="37" customFormat="false" ht="18" hidden="false" customHeight="false" outlineLevel="0" collapsed="false">
      <c r="B37" s="66" t="s">
        <v>92</v>
      </c>
      <c r="C37" s="108" t="s">
        <v>93</v>
      </c>
      <c r="D37" s="109" t="n">
        <f aca="false">UVref*(1+D32/D35)</f>
        <v>9.86271186440678</v>
      </c>
      <c r="E37" s="110" t="s">
        <v>43</v>
      </c>
      <c r="F37" s="111" t="n">
        <f aca="false">SQRT(F125^2+F32^2+F35^2)</f>
        <v>0.0645677938294317</v>
      </c>
      <c r="G37" s="83"/>
      <c r="K37" s="106"/>
      <c r="L37" s="107"/>
    </row>
    <row r="38" customFormat="false" ht="18" hidden="false" customHeight="false" outlineLevel="0" collapsed="false">
      <c r="B38" s="70" t="s">
        <v>94</v>
      </c>
      <c r="C38" s="71" t="s">
        <v>95</v>
      </c>
      <c r="D38" s="112" t="n">
        <f aca="false">D11*1000/(D32+D35)</f>
        <v>22.6843100189036</v>
      </c>
      <c r="E38" s="85" t="s">
        <v>96</v>
      </c>
      <c r="F38" s="86"/>
      <c r="G38" s="83"/>
    </row>
    <row r="39" customFormat="false" ht="18" hidden="false" customHeight="false" outlineLevel="0" collapsed="false">
      <c r="G39" s="83"/>
    </row>
    <row r="40" customFormat="false" ht="18" hidden="false" customHeight="false" outlineLevel="0" collapsed="false">
      <c r="G40" s="83"/>
    </row>
    <row r="41" customFormat="false" ht="32.25" hidden="true" customHeight="true" outlineLevel="0" collapsed="false">
      <c r="B41" s="113" t="s">
        <v>97</v>
      </c>
      <c r="C41" s="113"/>
      <c r="D41" s="113"/>
      <c r="E41" s="113"/>
      <c r="F41" s="113"/>
      <c r="G41" s="114"/>
      <c r="L41" s="115" t="s">
        <v>98</v>
      </c>
      <c r="M41" s="116"/>
      <c r="N41" s="116"/>
      <c r="O41" s="116"/>
      <c r="P41" s="116"/>
      <c r="Q41" s="116"/>
      <c r="R41" s="116"/>
      <c r="S41" s="116"/>
      <c r="T41" s="116"/>
      <c r="U41" s="117"/>
      <c r="V41" s="117"/>
    </row>
    <row r="42" customFormat="false" ht="32.25" hidden="true" customHeight="true" outlineLevel="0" collapsed="false">
      <c r="B42" s="46" t="s">
        <v>50</v>
      </c>
      <c r="C42" s="118" t="s">
        <v>51</v>
      </c>
      <c r="D42" s="92" t="n">
        <f aca="false">D16</f>
        <v>10.8</v>
      </c>
      <c r="E42" s="119"/>
      <c r="F42" s="120"/>
      <c r="G42" s="114"/>
      <c r="L42" s="121" t="n">
        <f aca="false">(OVref*D44)/(D42-OVref)</f>
        <v>58.75</v>
      </c>
      <c r="M42" s="116"/>
      <c r="N42" s="116"/>
      <c r="O42" s="116"/>
      <c r="P42" s="116"/>
      <c r="Q42" s="116"/>
      <c r="R42" s="116"/>
      <c r="S42" s="116"/>
      <c r="T42" s="116"/>
      <c r="U42" s="117"/>
      <c r="V42" s="117"/>
    </row>
    <row r="43" customFormat="false" ht="32.25" hidden="true" customHeight="true" outlineLevel="0" collapsed="false">
      <c r="B43" s="122" t="s">
        <v>48</v>
      </c>
      <c r="C43" s="16" t="s">
        <v>49</v>
      </c>
      <c r="D43" s="123" t="n">
        <f aca="false">D15</f>
        <v>13.2</v>
      </c>
      <c r="E43" s="124"/>
      <c r="F43" s="125"/>
      <c r="G43" s="114"/>
      <c r="J43" s="94" t="n">
        <f aca="false">D51</f>
        <v>9.8037037037037</v>
      </c>
      <c r="K43" s="126" t="s">
        <v>99</v>
      </c>
      <c r="L43" s="127" t="s">
        <v>88</v>
      </c>
      <c r="N43" s="116"/>
      <c r="O43" s="116"/>
      <c r="P43" s="116"/>
      <c r="Q43" s="116"/>
      <c r="R43" s="116"/>
      <c r="S43" s="116"/>
      <c r="T43" s="116"/>
      <c r="U43" s="117"/>
      <c r="V43" s="117"/>
    </row>
    <row r="44" customFormat="false" ht="21.75" hidden="true" customHeight="true" outlineLevel="0" collapsed="false">
      <c r="B44" s="122" t="s">
        <v>100</v>
      </c>
      <c r="C44" s="16" t="s">
        <v>101</v>
      </c>
      <c r="D44" s="59" t="n">
        <v>470</v>
      </c>
      <c r="E44" s="49" t="s">
        <v>78</v>
      </c>
      <c r="F44" s="60" t="n">
        <v>0.01</v>
      </c>
      <c r="G44" s="114"/>
      <c r="H44" s="128"/>
      <c r="J44" s="94" t="n">
        <f aca="false">D50</f>
        <v>10.6949494949495</v>
      </c>
      <c r="K44" s="126" t="s">
        <v>85</v>
      </c>
      <c r="L44" s="127" t="n">
        <f aca="false">IF(D45&gt;=10000,D45/100,IF(D45&gt;=1000,D45/10,IF(D45&gt;=100,D45,IF(D45&gt;=10,D45*10,D45*100))))</f>
        <v>106.818181818182</v>
      </c>
    </row>
    <row r="45" customFormat="false" ht="21.75" hidden="true" customHeight="true" outlineLevel="0" collapsed="false">
      <c r="B45" s="122" t="s">
        <v>83</v>
      </c>
      <c r="C45" s="16" t="s">
        <v>102</v>
      </c>
      <c r="D45" s="96" t="n">
        <f aca="false">L42-D46</f>
        <v>10.6818181818182</v>
      </c>
      <c r="E45" s="51" t="s">
        <v>78</v>
      </c>
      <c r="F45" s="50"/>
      <c r="G45" s="114"/>
      <c r="J45" s="94" t="n">
        <f aca="false">D53</f>
        <v>11.9577002053388</v>
      </c>
      <c r="K45" s="95" t="s">
        <v>103</v>
      </c>
      <c r="L45" s="127" t="n">
        <f aca="false">INDEX('Res EIA Tables'!E$5:E$197,2+MATCH(L44,'Res EIA Tables'!E$5:E$197))</f>
        <v>107</v>
      </c>
    </row>
    <row r="46" customFormat="false" ht="18" hidden="true" customHeight="true" outlineLevel="0" collapsed="false">
      <c r="B46" s="122" t="s">
        <v>104</v>
      </c>
      <c r="C46" s="16" t="s">
        <v>102</v>
      </c>
      <c r="D46" s="96" t="n">
        <f aca="false">(D44+L42)*OVref/D43</f>
        <v>48.0681818181818</v>
      </c>
      <c r="E46" s="51" t="s">
        <v>78</v>
      </c>
      <c r="F46" s="97"/>
      <c r="G46" s="114"/>
      <c r="J46" s="94" t="n">
        <f aca="false">D52</f>
        <v>13.0447638603696</v>
      </c>
      <c r="K46" s="126" t="s">
        <v>105</v>
      </c>
      <c r="L46" s="127" t="s">
        <v>106</v>
      </c>
      <c r="W46" s="129"/>
    </row>
    <row r="47" customFormat="false" ht="18" hidden="true" customHeight="true" outlineLevel="0" collapsed="false">
      <c r="B47" s="98" t="s">
        <v>107</v>
      </c>
      <c r="C47" s="98"/>
      <c r="D47" s="130"/>
      <c r="E47" s="130"/>
      <c r="F47" s="97"/>
      <c r="G47" s="114"/>
      <c r="L47" s="127" t="n">
        <f aca="false">IF(D46&gt;=10000,D46/100,IF(D46&gt;=1000,D46/10,IF(D46&gt;=100,D46,IF(D46&gt;=10,D46*10,D46*100))))</f>
        <v>480.681818181818</v>
      </c>
    </row>
    <row r="48" customFormat="false" ht="18" hidden="true" customHeight="true" outlineLevel="0" collapsed="false">
      <c r="B48" s="122" t="s">
        <v>88</v>
      </c>
      <c r="C48" s="16" t="s">
        <v>89</v>
      </c>
      <c r="D48" s="102" t="n">
        <f aca="false">G48</f>
        <v>10.7</v>
      </c>
      <c r="E48" s="51" t="s">
        <v>78</v>
      </c>
      <c r="F48" s="131" t="n">
        <v>0.01</v>
      </c>
      <c r="G48" s="114" t="n">
        <f aca="false">L45*D45/L44</f>
        <v>10.7</v>
      </c>
      <c r="J48" s="106"/>
      <c r="K48" s="107"/>
      <c r="L48" s="132" t="n">
        <f aca="false">INDEX('Res EIA Tables'!E$5:E$197,2+MATCH(L47,'Res EIA Tables'!E$5:E$197))</f>
        <v>487</v>
      </c>
    </row>
    <row r="49" customFormat="false" ht="18" hidden="true" customHeight="true" outlineLevel="0" collapsed="false">
      <c r="B49" s="122" t="s">
        <v>106</v>
      </c>
      <c r="C49" s="16" t="s">
        <v>108</v>
      </c>
      <c r="D49" s="102" t="n">
        <f aca="false">G49</f>
        <v>48.7</v>
      </c>
      <c r="E49" s="51" t="s">
        <v>78</v>
      </c>
      <c r="F49" s="131" t="n">
        <v>0.01</v>
      </c>
      <c r="G49" s="114" t="n">
        <f aca="false">L48*D46/L47</f>
        <v>48.7</v>
      </c>
      <c r="J49" s="106"/>
      <c r="K49" s="107"/>
      <c r="L49" s="132"/>
    </row>
    <row r="50" customFormat="false" ht="18" hidden="true" customHeight="true" outlineLevel="0" collapsed="false">
      <c r="B50" s="122" t="s">
        <v>90</v>
      </c>
      <c r="C50" s="16" t="s">
        <v>91</v>
      </c>
      <c r="D50" s="104" t="n">
        <f aca="false">OVref*(D44+D48+D49)/(D48+D49)</f>
        <v>10.6949494949495</v>
      </c>
      <c r="E50" s="51" t="s">
        <v>43</v>
      </c>
      <c r="F50" s="105" t="n">
        <f aca="false">SQRT(F126^2+F44^2+F48^2+F49^2)</f>
        <v>0.0346410161513775</v>
      </c>
      <c r="G50" s="114"/>
      <c r="J50" s="106"/>
      <c r="K50" s="107"/>
      <c r="L50" s="132" t="n">
        <f aca="false">IF(D58&gt;=100,D58,IF(D58&gt;=10,D58*10,D58*100))</f>
        <v>0</v>
      </c>
    </row>
    <row r="51" s="133" customFormat="true" ht="18" hidden="true" customHeight="true" outlineLevel="0" collapsed="false">
      <c r="B51" s="122" t="s">
        <v>92</v>
      </c>
      <c r="C51" s="16" t="s">
        <v>93</v>
      </c>
      <c r="D51" s="104" t="n">
        <f aca="false">UVref*(D44+D48+D49)/(D48+D49)</f>
        <v>9.8037037037037</v>
      </c>
      <c r="E51" s="51" t="s">
        <v>43</v>
      </c>
      <c r="F51" s="105" t="n">
        <f aca="false">SQRT(F125^2+F44^2+F48^2+F49^2)</f>
        <v>0.0653375848956786</v>
      </c>
      <c r="G51" s="134"/>
      <c r="J51" s="106"/>
      <c r="K51" s="107"/>
      <c r="L51" s="135" t="e">
        <f aca="false">IF(L50&gt;1000,INDEX('Res EIA Tables'!E$5:E$197,MATCH(L50/10,'Res EIA Tables'!E$5:E$197))*10,INDEX('Res EIA Tables'!E$5:E$197,MATCH(L50,'Res EIA Tables'!E$5:E$197)))</f>
        <v>#N/A</v>
      </c>
      <c r="M51" s="1"/>
      <c r="N51" s="1"/>
      <c r="O51" s="1"/>
      <c r="P51" s="1"/>
      <c r="Q51" s="1"/>
      <c r="R51" s="1"/>
      <c r="S51" s="1"/>
      <c r="T51" s="1"/>
      <c r="U51" s="4"/>
      <c r="V51" s="4"/>
      <c r="W51" s="6"/>
    </row>
    <row r="52" customFormat="false" ht="18" hidden="true" customHeight="true" outlineLevel="0" collapsed="false">
      <c r="B52" s="122" t="s">
        <v>109</v>
      </c>
      <c r="C52" s="16" t="s">
        <v>110</v>
      </c>
      <c r="D52" s="104" t="n">
        <f aca="false">OVref*(D44+D48+D49)/(D49)</f>
        <v>13.0447638603696</v>
      </c>
      <c r="E52" s="51" t="s">
        <v>43</v>
      </c>
      <c r="F52" s="105" t="n">
        <f aca="false">SQRT(F126^2+F44^2+F48^2+F49^2)</f>
        <v>0.0346410161513775</v>
      </c>
      <c r="G52" s="136"/>
      <c r="L52" s="127"/>
    </row>
    <row r="53" customFormat="false" ht="18" hidden="true" customHeight="true" outlineLevel="0" collapsed="false">
      <c r="B53" s="122" t="s">
        <v>111</v>
      </c>
      <c r="C53" s="16" t="s">
        <v>112</v>
      </c>
      <c r="D53" s="104" t="n">
        <f aca="false">UVref*(D44+D48+D49)/(D49)</f>
        <v>11.9577002053388</v>
      </c>
      <c r="E53" s="51" t="s">
        <v>43</v>
      </c>
      <c r="F53" s="105" t="n">
        <f aca="false">SQRT(F125^2+F44^2+F48^2+F49^2)</f>
        <v>0.0653375848956786</v>
      </c>
      <c r="G53" s="136"/>
      <c r="L53" s="137" t="n">
        <f aca="false">IF(D62&gt;=10000,D62/100,IF(D62&gt;=1000,D62/10,IF(D62&gt;=100,D62,IF(D62&gt;=10,D62*10,D62*100))))</f>
        <v>552.941176470588</v>
      </c>
    </row>
    <row r="54" customFormat="false" ht="21" hidden="true" customHeight="true" outlineLevel="0" collapsed="false">
      <c r="B54" s="138" t="s">
        <v>113</v>
      </c>
      <c r="C54" s="139" t="s">
        <v>114</v>
      </c>
      <c r="D54" s="112" t="n">
        <f aca="false">D12*1000/(D44+D48+D49)</f>
        <v>22.667170381564</v>
      </c>
      <c r="E54" s="85" t="s">
        <v>96</v>
      </c>
      <c r="F54" s="86"/>
      <c r="G54" s="114"/>
      <c r="L54" s="127" t="n">
        <f aca="false">INDEX('Res EIA Tables'!E$5:E$197,2+MATCH(L53,'Res EIA Tables'!E$5:E$197))</f>
        <v>562</v>
      </c>
      <c r="M54" s="133"/>
      <c r="N54" s="133"/>
      <c r="O54" s="133"/>
      <c r="P54" s="133"/>
      <c r="Q54" s="133"/>
      <c r="R54" s="133"/>
      <c r="S54" s="133"/>
      <c r="T54" s="133"/>
      <c r="U54" s="140"/>
      <c r="V54" s="140"/>
    </row>
    <row r="55" customFormat="false" ht="24.75" hidden="false" customHeight="true" outlineLevel="0" collapsed="false">
      <c r="G55" s="114"/>
      <c r="L55" s="127" t="n">
        <f aca="false">IF(D33&gt;=10000,D33/100,IF(D33&gt;=1000,D33/10,IF(D33&gt;=100,D33,IF(D33&gt;=10,D33*10,D33*100))))</f>
        <v>587.5</v>
      </c>
    </row>
    <row r="56" customFormat="false" ht="18" hidden="false" customHeight="true" outlineLevel="0" collapsed="false">
      <c r="L56" s="127" t="n">
        <f aca="false">INDEX('Res EIA Tables'!E$5:E$197,2+MATCH(L55,'Res EIA Tables'!E$5:E$197))</f>
        <v>590</v>
      </c>
    </row>
    <row r="57" customFormat="false" ht="18" hidden="false" customHeight="true" outlineLevel="0" collapsed="false">
      <c r="L57" s="127" t="n">
        <f aca="false">IF(D70&gt;=10000,D70/100,IF(D70&gt;=1000,D70/10,IF(D70&gt;=100,D70,IF(D70&gt;=10,D70*10,D70*100))))</f>
        <v>555.666666666667</v>
      </c>
    </row>
    <row r="58" customFormat="false" ht="18" hidden="false" customHeight="true" outlineLevel="0" collapsed="false">
      <c r="L58" s="127" t="n">
        <f aca="false">INDEX('Res EIA Tables'!E$5:E$197,2+MATCH(L57,'Res EIA Tables'!E$5:E$197))</f>
        <v>562</v>
      </c>
    </row>
    <row r="59" s="141" customFormat="true" ht="18" hidden="false" customHeight="true" outlineLevel="0" collapsed="false">
      <c r="B59" s="142" t="s">
        <v>115</v>
      </c>
      <c r="C59" s="143"/>
      <c r="D59" s="144"/>
      <c r="E59" s="143"/>
      <c r="F59" s="145"/>
    </row>
    <row r="60" s="141" customFormat="true" ht="18" hidden="false" customHeight="true" outlineLevel="0" collapsed="false">
      <c r="B60" s="146" t="s">
        <v>116</v>
      </c>
      <c r="C60" s="147" t="s">
        <v>117</v>
      </c>
      <c r="D60" s="148" t="n">
        <v>11.4</v>
      </c>
      <c r="E60" s="149" t="s">
        <v>43</v>
      </c>
      <c r="F60" s="150" t="n">
        <v>0.03</v>
      </c>
    </row>
    <row r="61" s="141" customFormat="true" ht="18" hidden="false" customHeight="true" outlineLevel="0" collapsed="false">
      <c r="B61" s="151" t="s">
        <v>118</v>
      </c>
      <c r="C61" s="152" t="s">
        <v>119</v>
      </c>
      <c r="D61" s="153" t="n">
        <v>47</v>
      </c>
      <c r="E61" s="154" t="s">
        <v>78</v>
      </c>
      <c r="F61" s="155" t="n">
        <v>0.01</v>
      </c>
    </row>
    <row r="62" s="141" customFormat="true" ht="18" hidden="false" customHeight="true" outlineLevel="0" collapsed="false">
      <c r="B62" s="151" t="s">
        <v>120</v>
      </c>
      <c r="C62" s="152" t="s">
        <v>121</v>
      </c>
      <c r="D62" s="156" t="n">
        <f aca="false">D61*PGTH/(D60-PGTH)</f>
        <v>5.52941176470588</v>
      </c>
      <c r="E62" s="157" t="s">
        <v>78</v>
      </c>
      <c r="F62" s="158"/>
    </row>
    <row r="63" s="141" customFormat="true" ht="18" hidden="false" customHeight="true" outlineLevel="0" collapsed="false">
      <c r="B63" s="159" t="s">
        <v>122</v>
      </c>
      <c r="C63" s="160"/>
      <c r="D63" s="158"/>
      <c r="E63" s="161"/>
      <c r="F63" s="162"/>
    </row>
    <row r="64" s="141" customFormat="true" ht="18" hidden="false" customHeight="true" outlineLevel="0" collapsed="false">
      <c r="B64" s="151" t="s">
        <v>123</v>
      </c>
      <c r="C64" s="152" t="s">
        <v>124</v>
      </c>
      <c r="D64" s="163" t="n">
        <f aca="false">D62*L54/L53</f>
        <v>5.62</v>
      </c>
      <c r="E64" s="157" t="s">
        <v>78</v>
      </c>
      <c r="F64" s="164" t="n">
        <v>0.01</v>
      </c>
    </row>
    <row r="65" s="141" customFormat="true" ht="18" hidden="false" customHeight="true" outlineLevel="0" collapsed="false">
      <c r="B65" s="165" t="s">
        <v>125</v>
      </c>
      <c r="C65" s="166" t="s">
        <v>126</v>
      </c>
      <c r="D65" s="167" t="n">
        <f aca="false">1.2*(D61+D64)/D64</f>
        <v>11.2355871886121</v>
      </c>
      <c r="E65" s="168" t="s">
        <v>43</v>
      </c>
      <c r="F65" s="150" t="n">
        <f aca="false">SQRT(F126^2+F61^2+F64^2)</f>
        <v>0.033166247903554</v>
      </c>
    </row>
    <row r="66" s="141" customFormat="true" ht="18" hidden="false" customHeight="true" outlineLevel="0" collapsed="false">
      <c r="B66" s="169" t="s">
        <v>127</v>
      </c>
      <c r="C66" s="170" t="s">
        <v>128</v>
      </c>
      <c r="D66" s="171" t="n">
        <f aca="false">1.1*(D61+D64)/D64</f>
        <v>10.2992882562278</v>
      </c>
      <c r="E66" s="172" t="s">
        <v>43</v>
      </c>
      <c r="F66" s="150" t="n">
        <f aca="false">SQRT(F125^2+F61^2+F64^2)</f>
        <v>0.0645677938294317</v>
      </c>
    </row>
    <row r="67" s="141" customFormat="true" ht="18" hidden="false" customHeight="true" outlineLevel="0" collapsed="false">
      <c r="B67" s="151" t="s">
        <v>129</v>
      </c>
      <c r="C67" s="152" t="s">
        <v>130</v>
      </c>
      <c r="D67" s="173" t="n">
        <f aca="false">D12*1000/(D61+D64)</f>
        <v>228.050171037628</v>
      </c>
      <c r="E67" s="174" t="s">
        <v>96</v>
      </c>
      <c r="F67" s="158"/>
    </row>
    <row r="68" s="141" customFormat="true" ht="18" hidden="false" customHeight="true" outlineLevel="0" collapsed="false"/>
    <row r="69" s="141" customFormat="true" ht="18" hidden="false" customHeight="true" outlineLevel="0" collapsed="false">
      <c r="B69" s="175" t="s">
        <v>131</v>
      </c>
      <c r="C69" s="175"/>
      <c r="D69" s="175"/>
      <c r="E69" s="175"/>
      <c r="F69" s="175"/>
      <c r="K69" s="106" t="n">
        <f aca="false">Icharge*(10^-3)</f>
        <v>0.261111111111111</v>
      </c>
      <c r="L69" s="107" t="s">
        <v>132</v>
      </c>
    </row>
    <row r="70" s="141" customFormat="true" ht="18" hidden="false" customHeight="true" outlineLevel="0" collapsed="false">
      <c r="B70" s="176" t="s">
        <v>133</v>
      </c>
      <c r="C70" s="177" t="s">
        <v>134</v>
      </c>
      <c r="D70" s="173" t="n">
        <f aca="false">3334/(Ilimit)</f>
        <v>555.666666666667</v>
      </c>
      <c r="E70" s="149" t="s">
        <v>59</v>
      </c>
      <c r="F70" s="178"/>
      <c r="K70" s="106" t="n">
        <f aca="false">Ilimit_final</f>
        <v>5.93238434163701</v>
      </c>
      <c r="L70" s="107" t="s">
        <v>135</v>
      </c>
    </row>
    <row r="71" s="141" customFormat="true" ht="18" hidden="false" customHeight="true" outlineLevel="0" collapsed="false">
      <c r="B71" s="179" t="s">
        <v>136</v>
      </c>
      <c r="C71" s="179"/>
      <c r="D71" s="179"/>
      <c r="E71" s="149"/>
      <c r="F71" s="178"/>
    </row>
    <row r="72" s="141" customFormat="true" ht="18" hidden="false" customHeight="true" outlineLevel="0" collapsed="false">
      <c r="B72" s="176" t="s">
        <v>137</v>
      </c>
      <c r="C72" s="177" t="s">
        <v>138</v>
      </c>
      <c r="D72" s="180" t="n">
        <f aca="false">G72</f>
        <v>562</v>
      </c>
      <c r="E72" s="149" t="s">
        <v>59</v>
      </c>
      <c r="F72" s="155" t="n">
        <v>0.01</v>
      </c>
      <c r="G72" s="181" t="n">
        <f aca="false">L58/L57*D70</f>
        <v>562</v>
      </c>
    </row>
    <row r="73" s="141" customFormat="true" ht="18" hidden="false" customHeight="true" outlineLevel="0" collapsed="false">
      <c r="B73" s="176" t="s">
        <v>139</v>
      </c>
      <c r="C73" s="177" t="s">
        <v>140</v>
      </c>
      <c r="D73" s="173" t="n">
        <f aca="false">3334/D72</f>
        <v>5.93238434163701</v>
      </c>
      <c r="E73" s="149" t="s">
        <v>64</v>
      </c>
      <c r="F73" s="182" t="n">
        <f aca="false">SQRT(0.105^2+F72^2)</f>
        <v>0.105475115548645</v>
      </c>
    </row>
    <row r="74" s="141" customFormat="true" ht="18" hidden="false" customHeight="true" outlineLevel="0" collapsed="false">
      <c r="B74" s="176" t="s">
        <v>141</v>
      </c>
      <c r="C74" s="177" t="s">
        <v>142</v>
      </c>
      <c r="D74" s="173" t="n">
        <f aca="false">2*Ilimit_final</f>
        <v>11.864768683274</v>
      </c>
      <c r="E74" s="149" t="s">
        <v>64</v>
      </c>
      <c r="F74" s="182" t="n">
        <f aca="false">F73</f>
        <v>0.105475115548645</v>
      </c>
    </row>
    <row r="75" customFormat="false" ht="18" hidden="false" customHeight="false" outlineLevel="0" collapsed="false">
      <c r="G75" s="114"/>
    </row>
    <row r="76" customFormat="false" ht="21" hidden="false" customHeight="true" outlineLevel="0" collapsed="false">
      <c r="B76" s="175" t="s">
        <v>143</v>
      </c>
      <c r="C76" s="175"/>
      <c r="D76" s="175"/>
      <c r="E76" s="175"/>
      <c r="F76" s="175"/>
      <c r="G76" s="114"/>
      <c r="I76" s="106"/>
      <c r="W76" s="129"/>
    </row>
    <row r="77" customFormat="false" ht="18" hidden="false" customHeight="true" outlineLevel="0" collapsed="false">
      <c r="B77" s="183" t="s">
        <v>32</v>
      </c>
      <c r="C77" s="184" t="s">
        <v>33</v>
      </c>
      <c r="D77" s="185" t="s">
        <v>34</v>
      </c>
      <c r="E77" s="186" t="s">
        <v>35</v>
      </c>
      <c r="F77" s="187" t="s">
        <v>36</v>
      </c>
      <c r="G77" s="114"/>
      <c r="W77" s="129"/>
    </row>
    <row r="78" customFormat="false" ht="18" hidden="false" customHeight="true" outlineLevel="0" collapsed="false">
      <c r="B78" s="122" t="s">
        <v>144</v>
      </c>
      <c r="C78" s="16" t="s">
        <v>145</v>
      </c>
      <c r="D78" s="188" t="n">
        <v>2.2</v>
      </c>
      <c r="E78" s="51" t="s">
        <v>96</v>
      </c>
      <c r="F78" s="105" t="n">
        <v>0.104</v>
      </c>
      <c r="G78" s="114"/>
      <c r="W78" s="129"/>
    </row>
    <row r="79" s="133" customFormat="true" ht="31.5" hidden="false" customHeight="true" outlineLevel="0" collapsed="false">
      <c r="B79" s="122" t="s">
        <v>146</v>
      </c>
      <c r="C79" s="16" t="s">
        <v>147</v>
      </c>
      <c r="D79" s="188" t="n">
        <f aca="false">Cout*(Vcc_max/D80)/1000</f>
        <v>15.9097320169252</v>
      </c>
      <c r="E79" s="51" t="s">
        <v>64</v>
      </c>
      <c r="F79" s="97"/>
      <c r="G79" s="114"/>
      <c r="M79" s="1"/>
      <c r="N79" s="1"/>
      <c r="O79" s="1"/>
      <c r="P79" s="1"/>
      <c r="Q79" s="1"/>
      <c r="R79" s="1"/>
      <c r="S79" s="1"/>
      <c r="T79" s="1"/>
      <c r="U79" s="4"/>
      <c r="V79" s="4"/>
      <c r="W79" s="6"/>
    </row>
    <row r="80" s="133" customFormat="true" ht="32.25" hidden="false" customHeight="true" outlineLevel="0" collapsed="false">
      <c r="B80" s="122" t="s">
        <v>148</v>
      </c>
      <c r="C80" s="16" t="s">
        <v>149</v>
      </c>
      <c r="D80" s="188" t="n">
        <f aca="false">-0.0007*(Vcc_max^2) + 0.0301*Vcc_max + 0.0941</f>
        <v>0.3545</v>
      </c>
      <c r="E80" s="51" t="s">
        <v>69</v>
      </c>
      <c r="F80" s="105" t="n">
        <v>0.15</v>
      </c>
      <c r="H80" s="114"/>
      <c r="M80" s="1"/>
      <c r="N80" s="1"/>
      <c r="O80" s="1"/>
      <c r="P80" s="1"/>
      <c r="Q80" s="1"/>
      <c r="R80" s="1"/>
      <c r="S80" s="1"/>
      <c r="T80" s="1"/>
      <c r="U80" s="4"/>
      <c r="V80" s="4"/>
      <c r="W80" s="6"/>
    </row>
    <row r="81" s="133" customFormat="true" ht="18" hidden="false" customHeight="true" outlineLevel="0" collapsed="false">
      <c r="B81" s="122" t="s">
        <v>150</v>
      </c>
      <c r="C81" s="16" t="s">
        <v>151</v>
      </c>
      <c r="D81" s="189" t="n">
        <v>20</v>
      </c>
      <c r="E81" s="51" t="s">
        <v>69</v>
      </c>
      <c r="F81" s="97"/>
      <c r="G81" s="190"/>
      <c r="L81" s="191"/>
      <c r="M81" s="1"/>
      <c r="N81" s="1"/>
      <c r="O81" s="1"/>
      <c r="P81" s="1"/>
      <c r="Q81" s="1"/>
      <c r="R81" s="1"/>
      <c r="S81" s="1"/>
      <c r="T81" s="1"/>
      <c r="U81" s="4"/>
      <c r="V81" s="4"/>
      <c r="W81" s="6"/>
    </row>
    <row r="82" customFormat="false" ht="18" hidden="false" customHeight="true" outlineLevel="0" collapsed="false">
      <c r="B82" s="122" t="s">
        <v>152</v>
      </c>
      <c r="C82" s="16" t="s">
        <v>153</v>
      </c>
      <c r="D82" s="189" t="n">
        <v>1</v>
      </c>
      <c r="E82" s="51" t="s">
        <v>64</v>
      </c>
      <c r="F82" s="97"/>
      <c r="G82" s="114"/>
      <c r="M82" s="191"/>
      <c r="N82" s="133"/>
      <c r="O82" s="133"/>
      <c r="P82" s="133"/>
      <c r="Q82" s="133"/>
      <c r="R82" s="133"/>
      <c r="S82" s="133"/>
      <c r="T82" s="133"/>
      <c r="U82" s="140"/>
      <c r="V82" s="140"/>
    </row>
    <row r="83" customFormat="false" ht="18" hidden="false" customHeight="true" outlineLevel="0" collapsed="false">
      <c r="B83" s="122" t="s">
        <v>154</v>
      </c>
      <c r="C83" s="16" t="s">
        <v>155</v>
      </c>
      <c r="D83" s="192" t="n">
        <f aca="false">IF(Tchg_req&lt;D80,    0,  (2000*Tchg_req/Vcc_max))</f>
        <v>3333.33333333333</v>
      </c>
      <c r="E83" s="51" t="s">
        <v>156</v>
      </c>
      <c r="F83" s="97"/>
      <c r="G83" s="114"/>
      <c r="M83" s="191"/>
      <c r="N83" s="133"/>
      <c r="O83" s="133"/>
      <c r="P83" s="133"/>
      <c r="Q83" s="133"/>
      <c r="R83" s="133"/>
      <c r="S83" s="133"/>
      <c r="T83" s="133"/>
      <c r="U83" s="140"/>
      <c r="V83" s="140"/>
      <c r="Y83" s="127"/>
      <c r="Z83" s="127"/>
      <c r="AA83" s="127"/>
      <c r="AB83" s="127"/>
      <c r="AC83" s="127"/>
      <c r="AD83" s="127"/>
      <c r="AE83" s="127"/>
      <c r="AF83" s="127"/>
      <c r="AG83" s="127"/>
      <c r="AH83" s="127"/>
      <c r="AI83" s="127"/>
      <c r="AJ83" s="127"/>
      <c r="AK83" s="127"/>
      <c r="AL83" s="127"/>
      <c r="AM83" s="127"/>
      <c r="AN83" s="127"/>
      <c r="AO83" s="127"/>
      <c r="AP83" s="127"/>
      <c r="AQ83" s="127"/>
      <c r="AR83" s="127"/>
      <c r="AS83" s="127"/>
    </row>
    <row r="84" customFormat="false" ht="18" hidden="false" customHeight="true" outlineLevel="0" collapsed="false">
      <c r="B84" s="122" t="s">
        <v>157</v>
      </c>
      <c r="C84" s="16" t="s">
        <v>158</v>
      </c>
      <c r="D84" s="192" t="n">
        <f aca="false">(2000*Cout/Icharge_req/1000)</f>
        <v>940</v>
      </c>
      <c r="E84" s="51" t="s">
        <v>156</v>
      </c>
      <c r="F84" s="97"/>
      <c r="G84" s="114"/>
      <c r="M84" s="191"/>
      <c r="N84" s="133"/>
      <c r="O84" s="133"/>
      <c r="P84" s="133"/>
      <c r="Q84" s="133"/>
      <c r="R84" s="133"/>
      <c r="S84" s="133"/>
      <c r="T84" s="133"/>
      <c r="U84" s="193"/>
      <c r="V84" s="193"/>
      <c r="W84" s="194"/>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7"/>
    </row>
    <row r="85" customFormat="false" ht="18" hidden="false" customHeight="true" outlineLevel="0" collapsed="false">
      <c r="B85" s="98" t="s">
        <v>159</v>
      </c>
      <c r="C85" s="98"/>
      <c r="D85" s="98"/>
      <c r="E85" s="51"/>
      <c r="F85" s="97"/>
      <c r="G85" s="195" t="n">
        <f aca="false">(MAX(D83,D84))/1000</f>
        <v>3.33333333333333</v>
      </c>
      <c r="J85" s="2"/>
      <c r="U85" s="196"/>
      <c r="V85" s="196"/>
      <c r="W85" s="194"/>
      <c r="X85" s="127"/>
      <c r="Y85" s="127"/>
      <c r="Z85" s="127"/>
      <c r="AA85" s="127"/>
      <c r="AB85" s="127"/>
      <c r="AC85" s="127"/>
      <c r="AD85" s="127" t="n">
        <f aca="false">Y95-AB93</f>
        <v>54.03328</v>
      </c>
      <c r="AE85" s="127"/>
      <c r="AF85" s="127"/>
      <c r="AG85" s="127"/>
      <c r="AH85" s="127"/>
      <c r="AI85" s="127"/>
      <c r="AJ85" s="127"/>
      <c r="AK85" s="127"/>
      <c r="AL85" s="127"/>
      <c r="AM85" s="127"/>
      <c r="AN85" s="127"/>
      <c r="AO85" s="127"/>
      <c r="AP85" s="127"/>
      <c r="AQ85" s="127"/>
      <c r="AR85" s="127"/>
      <c r="AS85" s="127"/>
    </row>
    <row r="86" customFormat="false" ht="18" hidden="false" customHeight="true" outlineLevel="0" collapsed="false">
      <c r="B86" s="122" t="s">
        <v>160</v>
      </c>
      <c r="C86" s="16" t="s">
        <v>161</v>
      </c>
      <c r="D86" s="197" t="n">
        <f aca="false">G87</f>
        <v>3.6</v>
      </c>
      <c r="E86" s="51" t="s">
        <v>162</v>
      </c>
      <c r="F86" s="103" t="n">
        <v>0.1</v>
      </c>
      <c r="G86" s="57"/>
      <c r="U86" s="196" t="n">
        <f aca="false">D90+D93</f>
        <v>6.36666666666667</v>
      </c>
      <c r="V86" s="196" t="n">
        <f aca="false">AB93/I93</f>
        <v>7.24711111111111</v>
      </c>
      <c r="W86" s="194"/>
      <c r="X86" s="127"/>
      <c r="Y86" s="127"/>
      <c r="Z86" s="127"/>
      <c r="AA86" s="127"/>
      <c r="AB86" s="127"/>
      <c r="AC86" s="127"/>
      <c r="AD86" s="127" t="n">
        <f aca="false">(23.97*Tchg_dvdt^(-0.33)*Tchg_dvdt)-AB93</f>
        <v>104.337696059265</v>
      </c>
      <c r="AE86" s="127"/>
      <c r="AF86" s="127"/>
      <c r="AG86" s="127"/>
      <c r="AH86" s="127"/>
      <c r="AI86" s="127"/>
      <c r="AJ86" s="127"/>
      <c r="AK86" s="127"/>
      <c r="AL86" s="127"/>
      <c r="AM86" s="127"/>
      <c r="AN86" s="127"/>
      <c r="AO86" s="127"/>
      <c r="AP86" s="127"/>
      <c r="AQ86" s="127"/>
      <c r="AR86" s="127"/>
      <c r="AS86" s="127"/>
    </row>
    <row r="87" customFormat="false" ht="16.5" hidden="false" customHeight="true" outlineLevel="0" collapsed="false">
      <c r="B87" s="122" t="s">
        <v>163</v>
      </c>
      <c r="C87" s="16" t="s">
        <v>164</v>
      </c>
      <c r="D87" s="198" t="n">
        <f aca="false">IF(Cdvdt_ext="OPEN",D79*1000,(Cout*2000/Cdvdt_ext/1000))</f>
        <v>261.111111111111</v>
      </c>
      <c r="E87" s="49" t="s">
        <v>165</v>
      </c>
      <c r="F87" s="199" t="n">
        <f aca="false">SQRT(F89^2+F18^2)</f>
        <v>0.14142135623731</v>
      </c>
      <c r="G87" s="200" t="n">
        <f aca="false">IF(G85&gt;1,INDEX('Cap Tables'!B4:B75,1+MATCH(G85,'Cap Tables'!B4:B75)),(INDEX('Cap Tables'!A4:A75,1+MATCH(G85*10,'Cap Tables'!A4:A75))/10))</f>
        <v>3.6</v>
      </c>
      <c r="U87" s="196"/>
      <c r="V87" s="196"/>
      <c r="W87" s="194"/>
      <c r="X87" s="127"/>
      <c r="Y87" s="127"/>
      <c r="Z87" s="127"/>
      <c r="AA87" s="127"/>
      <c r="AB87" s="127"/>
      <c r="AC87" s="127"/>
      <c r="AD87" s="127"/>
      <c r="AE87" s="127"/>
      <c r="AF87" s="127"/>
      <c r="AG87" s="127"/>
      <c r="AH87" s="127"/>
      <c r="AI87" s="127"/>
      <c r="AJ87" s="127"/>
      <c r="AK87" s="127"/>
      <c r="AL87" s="127"/>
      <c r="AM87" s="127"/>
      <c r="AN87" s="127"/>
      <c r="AO87" s="127"/>
      <c r="AP87" s="127"/>
      <c r="AQ87" s="127"/>
      <c r="AR87" s="127"/>
      <c r="AS87" s="127"/>
    </row>
    <row r="88" customFormat="false" ht="16.5" hidden="false" customHeight="true" outlineLevel="0" collapsed="false">
      <c r="B88" s="122" t="s">
        <v>166</v>
      </c>
      <c r="C88" s="16"/>
      <c r="D88" s="201" t="n">
        <f aca="false">((Icharge*(10^-3)+Vcc_max/Rlstart) &gt;= Ilimit_final)</f>
        <v>0</v>
      </c>
      <c r="E88" s="49"/>
      <c r="F88" s="50"/>
      <c r="G88" s="202" t="n">
        <f aca="false">Cout*0.001*Rlstart*(Ilimit_final/Icharge -1+LN(Icharge/(Ilimit_final-Vcc_max/Rlstart)))</f>
        <v>7.81537785863335</v>
      </c>
      <c r="U88" s="196"/>
      <c r="V88" s="196"/>
      <c r="W88" s="194"/>
      <c r="X88" s="127"/>
      <c r="Y88" s="127"/>
      <c r="Z88" s="127"/>
      <c r="AA88" s="127"/>
      <c r="AB88" s="127"/>
      <c r="AC88" s="127"/>
      <c r="AD88" s="127"/>
      <c r="AE88" s="127"/>
      <c r="AF88" s="127"/>
      <c r="AG88" s="127"/>
      <c r="AH88" s="127"/>
      <c r="AI88" s="127"/>
      <c r="AJ88" s="127"/>
      <c r="AK88" s="127"/>
      <c r="AL88" s="127"/>
      <c r="AM88" s="127"/>
      <c r="AN88" s="127"/>
      <c r="AO88" s="127"/>
      <c r="AP88" s="127"/>
      <c r="AQ88" s="127"/>
      <c r="AR88" s="127"/>
      <c r="AS88" s="127"/>
    </row>
    <row r="89" customFormat="false" ht="16.5" hidden="false" customHeight="true" outlineLevel="0" collapsed="false">
      <c r="B89" s="122" t="s">
        <v>167</v>
      </c>
      <c r="C89" s="16" t="s">
        <v>168</v>
      </c>
      <c r="D89" s="198" t="n">
        <f aca="false">IF(D88, G88, IF(Cdvdt_ext="OPEN",D80,Vcc_max*Cdvdt_ext*1000/2000))</f>
        <v>21.6</v>
      </c>
      <c r="E89" s="49" t="s">
        <v>69</v>
      </c>
      <c r="F89" s="199" t="n">
        <f aca="false">F86</f>
        <v>0.1</v>
      </c>
      <c r="U89" s="196"/>
      <c r="V89" s="196"/>
      <c r="W89" s="194"/>
      <c r="X89" s="127"/>
      <c r="Y89" s="127"/>
      <c r="Z89" s="127"/>
      <c r="AA89" s="127"/>
      <c r="AB89" s="127"/>
      <c r="AC89" s="127"/>
      <c r="AD89" s="127"/>
      <c r="AE89" s="127"/>
      <c r="AF89" s="127"/>
      <c r="AG89" s="127"/>
      <c r="AH89" s="127"/>
      <c r="AI89" s="127"/>
      <c r="AJ89" s="127"/>
      <c r="AK89" s="127"/>
      <c r="AL89" s="127"/>
      <c r="AM89" s="127"/>
      <c r="AN89" s="127"/>
      <c r="AO89" s="127"/>
      <c r="AP89" s="127"/>
      <c r="AQ89" s="127"/>
      <c r="AR89" s="127"/>
      <c r="AS89" s="127"/>
    </row>
    <row r="90" customFormat="false" ht="18" hidden="false" customHeight="false" outlineLevel="0" collapsed="false">
      <c r="B90" s="138" t="s">
        <v>169</v>
      </c>
      <c r="C90" s="139" t="s">
        <v>170</v>
      </c>
      <c r="D90" s="112" t="n">
        <f aca="false">0.5*Vcc_max*Icharge/10^3</f>
        <v>1.56666666666667</v>
      </c>
      <c r="E90" s="203" t="s">
        <v>171</v>
      </c>
      <c r="F90" s="74"/>
      <c r="G90" s="134"/>
      <c r="U90" s="196"/>
      <c r="V90" s="196"/>
      <c r="W90" s="194"/>
      <c r="X90" s="127"/>
      <c r="Y90" s="127"/>
      <c r="Z90" s="127" t="n">
        <f aca="false">23.97*Tchg_dvdt^(-0.33)*Tchg_dvdt*0.8</f>
        <v>150.259532847412</v>
      </c>
      <c r="AA90" s="127"/>
      <c r="AB90" s="127"/>
      <c r="AC90" s="127"/>
      <c r="AD90" s="127"/>
      <c r="AE90" s="127"/>
      <c r="AF90" s="127"/>
      <c r="AG90" s="127"/>
      <c r="AH90" s="127"/>
      <c r="AI90" s="127"/>
      <c r="AJ90" s="127"/>
      <c r="AK90" s="127"/>
      <c r="AL90" s="127"/>
      <c r="AM90" s="127"/>
      <c r="AN90" s="127"/>
      <c r="AO90" s="127"/>
      <c r="AP90" s="127"/>
      <c r="AQ90" s="127"/>
      <c r="AR90" s="127"/>
      <c r="AS90" s="127"/>
    </row>
    <row r="91" customFormat="false" ht="18" hidden="false" customHeight="true" outlineLevel="0" collapsed="false">
      <c r="G91" s="202"/>
      <c r="U91" s="196"/>
      <c r="V91" s="196"/>
      <c r="W91" s="194"/>
      <c r="X91" s="127"/>
      <c r="Y91" s="127"/>
      <c r="Z91" s="127" t="n">
        <f aca="false">37.14*Tchg_dvdt^(-0.31)*Tchg_dvdt*0.51</f>
        <v>157.82840361857</v>
      </c>
      <c r="AA91" s="127"/>
      <c r="AB91" s="127"/>
      <c r="AC91" s="127"/>
      <c r="AD91" s="127"/>
      <c r="AE91" s="127"/>
      <c r="AF91" s="127"/>
      <c r="AG91" s="127"/>
      <c r="AH91" s="127"/>
      <c r="AI91" s="127"/>
      <c r="AJ91" s="127"/>
      <c r="AK91" s="127"/>
      <c r="AL91" s="127"/>
      <c r="AM91" s="127"/>
      <c r="AN91" s="127"/>
      <c r="AO91" s="127"/>
      <c r="AP91" s="127"/>
      <c r="AQ91" s="127"/>
      <c r="AR91" s="127"/>
      <c r="AS91" s="127"/>
    </row>
    <row r="92" customFormat="false" ht="20.25" hidden="false" customHeight="true" outlineLevel="0" collapsed="false">
      <c r="B92" s="175" t="s">
        <v>172</v>
      </c>
      <c r="C92" s="175"/>
      <c r="D92" s="175"/>
      <c r="E92" s="175"/>
      <c r="F92" s="175"/>
      <c r="G92" s="134"/>
      <c r="U92" s="196"/>
      <c r="V92" s="196"/>
      <c r="W92" s="194"/>
      <c r="X92" s="127"/>
      <c r="Y92" s="127" t="s">
        <v>173</v>
      </c>
      <c r="Z92" s="127" t="s">
        <v>174</v>
      </c>
      <c r="AA92" s="127" t="s">
        <v>175</v>
      </c>
      <c r="AB92" s="127"/>
      <c r="AC92" s="127"/>
      <c r="AD92" s="127"/>
      <c r="AE92" s="127"/>
      <c r="AF92" s="127"/>
      <c r="AG92" s="127"/>
      <c r="AH92" s="127"/>
      <c r="AI92" s="127"/>
      <c r="AJ92" s="127"/>
      <c r="AK92" s="127"/>
      <c r="AL92" s="127"/>
      <c r="AM92" s="127"/>
      <c r="AN92" s="127"/>
      <c r="AO92" s="127"/>
      <c r="AP92" s="127"/>
      <c r="AQ92" s="127"/>
      <c r="AR92" s="127"/>
      <c r="AS92" s="127"/>
    </row>
    <row r="93" customFormat="false" ht="18" hidden="false" customHeight="true" outlineLevel="0" collapsed="false">
      <c r="B93" s="204" t="s">
        <v>176</v>
      </c>
      <c r="C93" s="118" t="s">
        <v>177</v>
      </c>
      <c r="D93" s="205" t="n">
        <f aca="false">(Vcc_max^2/Rlstart)*(1/6-(D20^2/2/Vcc_max^2)+(D20^3/3/Vcc_max^3))</f>
        <v>4.8</v>
      </c>
      <c r="E93" s="44" t="s">
        <v>171</v>
      </c>
      <c r="F93" s="206"/>
      <c r="G93" s="57"/>
      <c r="I93" s="137" t="n">
        <f aca="false">(Vcc_max-5.6)*Tchg_dvdt/Vcc_max</f>
        <v>11.52</v>
      </c>
      <c r="M93" s="207"/>
      <c r="Q93" s="207"/>
      <c r="R93" s="207"/>
      <c r="S93" s="207"/>
      <c r="T93" s="207"/>
      <c r="U93" s="181"/>
      <c r="V93" s="208"/>
      <c r="W93" s="194"/>
      <c r="X93" s="127"/>
      <c r="Y93" s="127" t="n">
        <f aca="false">0.5*Vcc_max*Icharge/10^3*Tchg_dvdt</f>
        <v>33.84</v>
      </c>
      <c r="Z93" s="127" t="n">
        <f aca="false">13.312*Tchg_dvdt^(-0.4)*Tchg_dvdt*0.8</f>
        <v>67.2985251318176</v>
      </c>
      <c r="AA93" s="127" t="n">
        <f aca="false">0.5*(Vcc_max+5.6)*Icharge/10^3*I93</f>
        <v>26.4704</v>
      </c>
      <c r="AB93" s="127" t="n">
        <f aca="false">IF(D20&lt;Vcc_max-5.6,AA95,AA93)</f>
        <v>83.48672</v>
      </c>
      <c r="AC93" s="127"/>
      <c r="AD93" s="127"/>
      <c r="AE93" s="127"/>
      <c r="AF93" s="127"/>
      <c r="AG93" s="127"/>
      <c r="AH93" s="127"/>
      <c r="AI93" s="127"/>
      <c r="AJ93" s="127"/>
      <c r="AK93" s="127"/>
      <c r="AL93" s="127"/>
      <c r="AM93" s="127"/>
      <c r="AN93" s="127"/>
      <c r="AO93" s="127"/>
      <c r="AP93" s="127"/>
      <c r="AQ93" s="127"/>
      <c r="AR93" s="127"/>
      <c r="AS93" s="127"/>
    </row>
    <row r="94" customFormat="false" ht="21" hidden="false" customHeight="true" outlineLevel="0" collapsed="false">
      <c r="B94" s="122" t="s">
        <v>178</v>
      </c>
      <c r="C94" s="16" t="s">
        <v>179</v>
      </c>
      <c r="D94" s="209" t="n">
        <f aca="false">D90+D93</f>
        <v>6.36666666666667</v>
      </c>
      <c r="E94" s="51" t="s">
        <v>171</v>
      </c>
      <c r="F94" s="97"/>
      <c r="G94" s="57"/>
      <c r="M94" s="207"/>
      <c r="Q94" s="207"/>
      <c r="R94" s="207"/>
      <c r="S94" s="207"/>
      <c r="T94" s="207"/>
      <c r="U94" s="208"/>
      <c r="V94" s="208"/>
      <c r="W94" s="194"/>
      <c r="X94" s="127"/>
      <c r="Y94" s="127" t="n">
        <f aca="false">(Vcc_max^2/Rlstart)*(1/6-(D20^2/2/Vcc_max^2)+(D20^3/3/Vcc_max^3))*Tchg_dvdt</f>
        <v>103.68</v>
      </c>
      <c r="Z94" s="127" t="n">
        <f aca="false">30.81*I93^(-0.31)*I93*0.8</f>
        <v>133.101789944568</v>
      </c>
      <c r="AA94" s="127" t="n">
        <f aca="false">(Tchg_dvdt/Rlstart)*(((Vcc_max-5.6)^2/2)-((Vcc_max-5.6)^3/3/Vcc_max)-(D20^2/2)+(D20^3/3/Vcc_max))</f>
        <v>57.01632</v>
      </c>
      <c r="AB94" s="127"/>
      <c r="AC94" s="127"/>
      <c r="AD94" s="127"/>
      <c r="AE94" s="127"/>
      <c r="AF94" s="127"/>
      <c r="AG94" s="127"/>
      <c r="AH94" s="127"/>
      <c r="AI94" s="127"/>
      <c r="AJ94" s="127"/>
      <c r="AK94" s="127"/>
      <c r="AL94" s="127"/>
      <c r="AM94" s="127"/>
      <c r="AN94" s="127"/>
      <c r="AO94" s="127"/>
      <c r="AP94" s="127"/>
      <c r="AQ94" s="127"/>
      <c r="AR94" s="127"/>
      <c r="AS94" s="127"/>
    </row>
    <row r="95" customFormat="false" ht="25.5" hidden="false" customHeight="true" outlineLevel="0" collapsed="false">
      <c r="B95" s="210"/>
      <c r="C95" s="211" t="s">
        <v>180</v>
      </c>
      <c r="D95" s="212" t="str">
        <f aca="false">IF(Vcc_max&lt;=5.6,IF(D24&lt;=25,AA98,IF(D24&lt;=85,AA97,IF(D24&lt;=125,AA99))),IF(D24&lt;=25,AF96,IF(D24&lt;=85,AA96,IF(D24&lt;=125,AL96))))</f>
        <v>YES</v>
      </c>
      <c r="E95" s="212"/>
      <c r="F95" s="212"/>
      <c r="G95" s="212"/>
      <c r="H95" s="212"/>
      <c r="I95" s="212"/>
      <c r="J95" s="212"/>
      <c r="M95" s="207"/>
      <c r="N95" s="207"/>
      <c r="O95" s="207"/>
      <c r="P95" s="207"/>
      <c r="Q95" s="207"/>
      <c r="R95" s="207"/>
      <c r="S95" s="207"/>
      <c r="T95" s="207"/>
      <c r="U95" s="208"/>
      <c r="V95" s="208"/>
      <c r="W95" s="194"/>
      <c r="X95" s="127"/>
      <c r="Y95" s="127" t="n">
        <f aca="false">Y93+Y94</f>
        <v>137.52</v>
      </c>
      <c r="Z95" s="127"/>
      <c r="AA95" s="127" t="n">
        <f aca="false">AA93+AA94</f>
        <v>83.48672</v>
      </c>
      <c r="AB95" s="127"/>
      <c r="AC95" s="127"/>
      <c r="AD95" s="127"/>
      <c r="AE95" s="127"/>
      <c r="AF95" s="127"/>
      <c r="AG95" s="127"/>
      <c r="AH95" s="127"/>
      <c r="AI95" s="127"/>
      <c r="AJ95" s="127"/>
      <c r="AK95" s="127"/>
      <c r="AL95" s="127"/>
      <c r="AM95" s="127"/>
      <c r="AN95" s="127"/>
      <c r="AO95" s="127"/>
      <c r="AP95" s="127"/>
      <c r="AQ95" s="127"/>
      <c r="AR95" s="127"/>
      <c r="AS95" s="127"/>
    </row>
    <row r="96" customFormat="false" ht="15.75" hidden="false" customHeight="true" outlineLevel="0" collapsed="false">
      <c r="B96" s="213" t="s">
        <v>181</v>
      </c>
      <c r="C96" s="213"/>
      <c r="D96" s="214" t="str">
        <f aca="false">IF(Vcc_max&gt;=5.6,IF(D95="YES","    We recommend verify startup on EVM for particular system test case"," ")," ")</f>
        <v>    We recommend verify startup on EVM for particular system test case</v>
      </c>
      <c r="E96" s="214"/>
      <c r="F96" s="214"/>
      <c r="G96" s="214"/>
      <c r="H96" s="214"/>
      <c r="I96" s="214"/>
      <c r="U96" s="196"/>
      <c r="V96" s="196"/>
      <c r="W96" s="194"/>
      <c r="X96" s="127"/>
      <c r="Y96" s="127"/>
      <c r="Z96" s="127"/>
      <c r="AA96" s="215" t="str">
        <f aca="false">IF(AB93&lt;Z94,IF(Y95&lt;Z90,"YES","NO, Increase Rlstart and/or Tchg_req; and/or Reduce Cout"),"NO, Increase Rlstart and/or Tchg_req; and/or Reduce Cout")</f>
        <v>YES</v>
      </c>
      <c r="AB96" s="127"/>
      <c r="AC96" s="127"/>
      <c r="AD96" s="127"/>
      <c r="AE96" s="127"/>
      <c r="AF96" s="127" t="str">
        <f aca="false">IF(AB93&lt;Z94,IF(Y95&lt;Z91,"YES","NO, Increase Rlstart and/or Tchg_req; and/or Reduce Cout"),"NO, Increase Rlstart and/or Tchg_req; and/or Reduce Cout")</f>
        <v>YES</v>
      </c>
      <c r="AG96" s="127"/>
      <c r="AH96" s="127"/>
      <c r="AI96" s="127"/>
      <c r="AJ96" s="127"/>
      <c r="AK96" s="127"/>
      <c r="AL96" s="127" t="str">
        <f aca="false">IF(AB93&lt;Z94,IF(Y95&lt;Z93,"YES","NO, Increase Rlstart and/or Tchg_req; and/or Reduce Cout"),"NO, Increase Rlstart and/or Tchg_req; and/or Reduce Cout")</f>
        <v>NO, Increase Rlstart and/or Tchg_req; and/or Reduce Cout</v>
      </c>
      <c r="AM96" s="127"/>
      <c r="AN96" s="127"/>
      <c r="AO96" s="127"/>
      <c r="AP96" s="127"/>
      <c r="AQ96" s="127"/>
      <c r="AR96" s="127"/>
      <c r="AS96" s="127"/>
    </row>
    <row r="97" customFormat="false" ht="15.75" hidden="false" customHeight="true" outlineLevel="0" collapsed="false">
      <c r="E97" s="216"/>
      <c r="F97" s="216"/>
      <c r="G97" s="216"/>
      <c r="H97" s="216"/>
      <c r="I97" s="216"/>
      <c r="J97" s="216"/>
      <c r="L97" s="4"/>
      <c r="M97" s="4"/>
      <c r="U97" s="196"/>
      <c r="V97" s="196"/>
      <c r="W97" s="194"/>
      <c r="X97" s="127"/>
      <c r="Y97" s="127"/>
      <c r="Z97" s="127"/>
      <c r="AA97" s="215" t="str">
        <f aca="false">IF(Y95&lt;Z90,"YES","NO, Increase Rlstart and/or Tchg_req; and/or Reduce Cout")</f>
        <v>YES</v>
      </c>
      <c r="AB97" s="127"/>
      <c r="AC97" s="127"/>
      <c r="AD97" s="127"/>
      <c r="AE97" s="127"/>
      <c r="AF97" s="127"/>
      <c r="AG97" s="127"/>
      <c r="AH97" s="127"/>
      <c r="AI97" s="127"/>
      <c r="AJ97" s="127"/>
      <c r="AK97" s="127"/>
      <c r="AL97" s="127"/>
      <c r="AM97" s="127"/>
      <c r="AN97" s="127"/>
      <c r="AO97" s="127"/>
      <c r="AP97" s="127"/>
      <c r="AQ97" s="127"/>
      <c r="AR97" s="127"/>
      <c r="AS97" s="127"/>
    </row>
    <row r="98" customFormat="false" ht="15.75" hidden="false" customHeight="true" outlineLevel="0" collapsed="false">
      <c r="E98" s="216"/>
      <c r="F98" s="216"/>
      <c r="G98" s="216"/>
      <c r="H98" s="216"/>
      <c r="I98" s="216"/>
      <c r="J98" s="216"/>
      <c r="L98" s="4"/>
      <c r="M98" s="4"/>
      <c r="U98" s="196"/>
      <c r="V98" s="196"/>
      <c r="W98" s="194"/>
      <c r="X98" s="127"/>
      <c r="Y98" s="127" t="n">
        <f aca="false">0.5*Vcc_max*Icharge/10^3</f>
        <v>1.56666666666667</v>
      </c>
      <c r="Z98" s="127" t="n">
        <f aca="false">23.97*Tchg_dvdt^(-0.33)*0.8</f>
        <v>6.95645985404686</v>
      </c>
      <c r="AA98" s="181" t="str">
        <f aca="false">IF(Y95&lt;Z91,"YES","NO, Increase Rlstart and/or Tchg_req; and/or Reduce Cout")</f>
        <v>YES</v>
      </c>
      <c r="AB98" s="127"/>
      <c r="AC98" s="127"/>
      <c r="AD98" s="127"/>
      <c r="AE98" s="127"/>
      <c r="AF98" s="127"/>
      <c r="AG98" s="127"/>
      <c r="AH98" s="127"/>
      <c r="AI98" s="127"/>
      <c r="AJ98" s="127"/>
      <c r="AK98" s="127"/>
      <c r="AL98" s="127"/>
      <c r="AM98" s="127"/>
      <c r="AN98" s="127"/>
      <c r="AO98" s="127"/>
      <c r="AP98" s="127"/>
      <c r="AQ98" s="127"/>
      <c r="AR98" s="127"/>
      <c r="AS98" s="127"/>
    </row>
    <row r="99" customFormat="false" ht="15.75" hidden="false" customHeight="true" outlineLevel="0" collapsed="false">
      <c r="E99" s="216"/>
      <c r="F99" s="216"/>
      <c r="G99" s="216"/>
      <c r="H99" s="216"/>
      <c r="I99" s="216"/>
      <c r="J99" s="216"/>
      <c r="L99" s="4"/>
      <c r="M99" s="4"/>
      <c r="U99" s="196"/>
      <c r="V99" s="196"/>
      <c r="W99" s="194"/>
      <c r="X99" s="127"/>
      <c r="Y99" s="127" t="n">
        <f aca="false">(Vcc_max^2/Rlstart)*(1/6-(D20^2/2/Vcc_max^2)+(D20^3/3/Vcc_max^3))</f>
        <v>4.8</v>
      </c>
      <c r="Z99" s="127" t="n">
        <f aca="false">37.14*Tchg_dvdt^(-0.31)*0.51</f>
        <v>7.30687053789674</v>
      </c>
      <c r="AA99" s="181" t="str">
        <f aca="false">IF(Y95&lt;Z93,"YES","NO, Increase Rlstart and/or Tchg_req; and/or Reduce Cout")</f>
        <v>NO, Increase Rlstart and/or Tchg_req; and/or Reduce Cout</v>
      </c>
      <c r="AB99" s="127"/>
      <c r="AC99" s="127"/>
      <c r="AD99" s="127"/>
      <c r="AE99" s="127"/>
      <c r="AF99" s="127"/>
      <c r="AG99" s="127"/>
      <c r="AH99" s="127"/>
      <c r="AI99" s="127"/>
      <c r="AJ99" s="127"/>
      <c r="AK99" s="127"/>
      <c r="AL99" s="127"/>
      <c r="AM99" s="127"/>
      <c r="AN99" s="127"/>
      <c r="AO99" s="127"/>
      <c r="AP99" s="127"/>
      <c r="AQ99" s="127"/>
      <c r="AR99" s="127"/>
      <c r="AS99" s="127"/>
    </row>
    <row r="100" customFormat="false" ht="15.75" hidden="false" customHeight="true" outlineLevel="0" collapsed="false">
      <c r="E100" s="216"/>
      <c r="F100" s="216"/>
      <c r="G100" s="216"/>
      <c r="H100" s="216"/>
      <c r="I100" s="216"/>
      <c r="J100" s="216"/>
      <c r="L100" s="4"/>
      <c r="M100" s="4"/>
      <c r="U100" s="196"/>
      <c r="V100" s="196"/>
      <c r="W100" s="194"/>
      <c r="X100" s="127"/>
      <c r="Y100" s="127" t="n">
        <f aca="false">Y98+Y99</f>
        <v>6.36666666666667</v>
      </c>
      <c r="Z100" s="127" t="n">
        <f aca="false">30.81*I93^(-0.31)*0.8</f>
        <v>11.5539748215771</v>
      </c>
      <c r="AA100" s="181"/>
      <c r="AB100" s="127"/>
      <c r="AC100" s="127"/>
      <c r="AD100" s="127"/>
      <c r="AE100" s="127"/>
      <c r="AF100" s="127"/>
      <c r="AG100" s="127"/>
      <c r="AH100" s="127"/>
      <c r="AI100" s="127"/>
      <c r="AJ100" s="127"/>
      <c r="AK100" s="127"/>
      <c r="AL100" s="127"/>
      <c r="AM100" s="127"/>
      <c r="AN100" s="127"/>
      <c r="AO100" s="127"/>
      <c r="AP100" s="127"/>
      <c r="AQ100" s="127"/>
      <c r="AR100" s="127"/>
      <c r="AS100" s="127"/>
    </row>
    <row r="101" customFormat="false" ht="18" hidden="false" customHeight="true" outlineLevel="0" collapsed="false">
      <c r="U101" s="196"/>
      <c r="V101" s="196"/>
      <c r="W101" s="194"/>
      <c r="X101" s="127"/>
      <c r="Y101" s="127"/>
      <c r="Z101" s="127"/>
      <c r="AA101" s="127"/>
      <c r="AB101" s="127"/>
      <c r="AC101" s="127"/>
      <c r="AD101" s="127"/>
      <c r="AE101" s="127"/>
      <c r="AF101" s="127"/>
      <c r="AG101" s="127"/>
      <c r="AH101" s="127"/>
      <c r="AI101" s="127"/>
      <c r="AJ101" s="127"/>
      <c r="AK101" s="127"/>
      <c r="AL101" s="127"/>
      <c r="AM101" s="127"/>
      <c r="AN101" s="127"/>
      <c r="AO101" s="127"/>
      <c r="AP101" s="127"/>
      <c r="AQ101" s="127"/>
      <c r="AR101" s="127"/>
      <c r="AS101" s="127"/>
    </row>
    <row r="102" customFormat="false" ht="27" hidden="false" customHeight="true" outlineLevel="0" collapsed="false">
      <c r="B102" s="217" t="s">
        <v>182</v>
      </c>
      <c r="C102" s="217"/>
      <c r="D102" s="217"/>
      <c r="E102" s="217"/>
      <c r="F102" s="90"/>
    </row>
    <row r="103" customFormat="false" ht="33" hidden="false" customHeight="true" outlineLevel="0" collapsed="false">
      <c r="B103" s="183" t="s">
        <v>32</v>
      </c>
      <c r="C103" s="184" t="s">
        <v>33</v>
      </c>
      <c r="D103" s="185" t="s">
        <v>34</v>
      </c>
      <c r="E103" s="186" t="s">
        <v>35</v>
      </c>
      <c r="F103" s="187" t="s">
        <v>36</v>
      </c>
      <c r="J103" s="218"/>
      <c r="K103" s="219"/>
    </row>
    <row r="104" customFormat="false" ht="18" hidden="false" customHeight="true" outlineLevel="0" collapsed="false">
      <c r="B104" s="122" t="s">
        <v>183</v>
      </c>
      <c r="C104" s="16" t="s">
        <v>184</v>
      </c>
      <c r="D104" s="209" t="n">
        <f aca="false">Imax*Rdson_25deg</f>
        <v>154</v>
      </c>
      <c r="E104" s="49" t="s">
        <v>185</v>
      </c>
      <c r="F104" s="50"/>
    </row>
    <row r="105" customFormat="false" ht="18" hidden="false" customHeight="true" outlineLevel="0" collapsed="false">
      <c r="B105" s="138" t="s">
        <v>186</v>
      </c>
      <c r="C105" s="139" t="s">
        <v>187</v>
      </c>
      <c r="D105" s="220" t="n">
        <f aca="false">Imax^2*Rdson_25deg</f>
        <v>847</v>
      </c>
      <c r="E105" s="203" t="s">
        <v>188</v>
      </c>
      <c r="F105" s="74"/>
    </row>
    <row r="106" customFormat="false" ht="18" hidden="false" customHeight="true" outlineLevel="0" collapsed="false">
      <c r="B106" s="221"/>
      <c r="C106" s="222"/>
      <c r="E106" s="5"/>
    </row>
    <row r="107" customFormat="false" ht="18" hidden="false" customHeight="true" outlineLevel="0" collapsed="false">
      <c r="B107" s="223" t="s">
        <v>189</v>
      </c>
      <c r="C107" s="223"/>
      <c r="D107" s="223"/>
      <c r="E107" s="223"/>
      <c r="F107" s="78"/>
    </row>
    <row r="108" customFormat="false" ht="18" hidden="false" customHeight="true" outlineLevel="0" collapsed="false">
      <c r="B108" s="224" t="s">
        <v>32</v>
      </c>
      <c r="C108" s="225" t="s">
        <v>33</v>
      </c>
      <c r="D108" s="226" t="s">
        <v>34</v>
      </c>
      <c r="E108" s="227" t="s">
        <v>35</v>
      </c>
      <c r="F108" s="224" t="s">
        <v>36</v>
      </c>
    </row>
    <row r="109" customFormat="false" ht="18" hidden="false" customHeight="true" outlineLevel="0" collapsed="false">
      <c r="B109" s="146" t="s">
        <v>190</v>
      </c>
      <c r="C109" s="147" t="s">
        <v>191</v>
      </c>
      <c r="D109" s="228" t="n">
        <f aca="false">D23*1.8/1.5</f>
        <v>2.4</v>
      </c>
      <c r="E109" s="149" t="s">
        <v>192</v>
      </c>
      <c r="F109" s="178"/>
    </row>
    <row r="110" customFormat="false" ht="18" hidden="false" customHeight="true" outlineLevel="0" collapsed="false">
      <c r="B110" s="146" t="s">
        <v>193</v>
      </c>
      <c r="C110" s="147" t="s">
        <v>194</v>
      </c>
      <c r="D110" s="229" t="n">
        <f aca="false">G110</f>
        <v>2.7</v>
      </c>
      <c r="E110" s="149" t="s">
        <v>192</v>
      </c>
      <c r="F110" s="230" t="n">
        <v>0.1</v>
      </c>
      <c r="G110" s="5" t="n">
        <f aca="false">INDEX('Cap Tables'!B4:B75,1+MATCH(D109,'Cap Tables'!B4:B75))</f>
        <v>2.7</v>
      </c>
    </row>
    <row r="111" customFormat="false" ht="18" hidden="false" customHeight="true" outlineLevel="0" collapsed="false">
      <c r="B111" s="146" t="s">
        <v>195</v>
      </c>
      <c r="C111" s="147" t="s">
        <v>196</v>
      </c>
      <c r="D111" s="228" t="n">
        <f aca="false">D110*1.5/1.8</f>
        <v>2.25</v>
      </c>
      <c r="E111" s="149" t="s">
        <v>69</v>
      </c>
      <c r="F111" s="178"/>
    </row>
    <row r="112" customFormat="false" ht="18" hidden="false" customHeight="true" outlineLevel="0" collapsed="false">
      <c r="E112" s="5"/>
    </row>
    <row r="113" customFormat="false" ht="18" hidden="false" customHeight="true" outlineLevel="0" collapsed="false">
      <c r="B113" s="231" t="s">
        <v>197</v>
      </c>
      <c r="C113" s="231"/>
      <c r="D113" s="106"/>
      <c r="G113" s="232"/>
    </row>
    <row r="114" customFormat="false" ht="18" hidden="false" customHeight="true" outlineLevel="0" collapsed="false">
      <c r="B114" s="233" t="s">
        <v>198</v>
      </c>
      <c r="D114" s="106"/>
    </row>
    <row r="115" customFormat="false" ht="18" hidden="false" customHeight="true" outlineLevel="0" collapsed="false">
      <c r="B115" s="234" t="s">
        <v>32</v>
      </c>
      <c r="C115" s="235" t="s">
        <v>33</v>
      </c>
      <c r="D115" s="236" t="s">
        <v>34</v>
      </c>
      <c r="E115" s="234" t="s">
        <v>35</v>
      </c>
      <c r="F115" s="234" t="s">
        <v>36</v>
      </c>
    </row>
    <row r="116" customFormat="false" ht="18" hidden="false" customHeight="true" outlineLevel="0" collapsed="false">
      <c r="B116" s="55" t="s">
        <v>199</v>
      </c>
      <c r="C116" s="47" t="s">
        <v>200</v>
      </c>
      <c r="D116" s="237" t="n">
        <v>23</v>
      </c>
      <c r="E116" s="49" t="s">
        <v>43</v>
      </c>
      <c r="F116" s="238"/>
    </row>
    <row r="117" customFormat="false" ht="18" hidden="false" customHeight="true" outlineLevel="0" collapsed="false">
      <c r="B117" s="55" t="s">
        <v>201</v>
      </c>
      <c r="C117" s="47" t="s">
        <v>202</v>
      </c>
      <c r="D117" s="237" t="n">
        <v>5.5</v>
      </c>
      <c r="E117" s="49" t="s">
        <v>64</v>
      </c>
      <c r="F117" s="238"/>
    </row>
    <row r="118" customFormat="false" ht="18" hidden="false" customHeight="true" outlineLevel="0" collapsed="false">
      <c r="B118" s="55" t="s">
        <v>203</v>
      </c>
      <c r="C118" s="47" t="s">
        <v>204</v>
      </c>
      <c r="D118" s="237" t="n">
        <v>28</v>
      </c>
      <c r="E118" s="49" t="s">
        <v>205</v>
      </c>
      <c r="F118" s="238"/>
    </row>
    <row r="120" customFormat="false" ht="18" hidden="false" customHeight="true" outlineLevel="0" collapsed="false">
      <c r="B120" s="233" t="s">
        <v>206</v>
      </c>
      <c r="D120" s="106"/>
    </row>
    <row r="121" customFormat="false" ht="18" hidden="false" customHeight="true" outlineLevel="0" collapsed="false">
      <c r="B121" s="55" t="s">
        <v>207</v>
      </c>
      <c r="C121" s="47" t="s">
        <v>208</v>
      </c>
      <c r="D121" s="237" t="n">
        <v>150</v>
      </c>
      <c r="E121" s="239" t="s">
        <v>209</v>
      </c>
      <c r="F121" s="240"/>
    </row>
    <row r="122" customFormat="false" ht="18" hidden="false" customHeight="true" outlineLevel="0" collapsed="false">
      <c r="B122" s="55" t="s">
        <v>210</v>
      </c>
      <c r="C122" s="47" t="s">
        <v>211</v>
      </c>
      <c r="D122" s="237" t="n">
        <v>41.7</v>
      </c>
      <c r="E122" s="239" t="s">
        <v>212</v>
      </c>
      <c r="F122" s="240"/>
    </row>
    <row r="123" s="141" customFormat="true" ht="18" hidden="false" customHeight="true" outlineLevel="0" collapsed="false"/>
    <row r="124" customFormat="false" ht="18" hidden="false" customHeight="true" outlineLevel="0" collapsed="false">
      <c r="B124" s="233" t="s">
        <v>213</v>
      </c>
      <c r="D124" s="106"/>
    </row>
    <row r="125" customFormat="false" ht="18" hidden="false" customHeight="true" outlineLevel="0" collapsed="false">
      <c r="B125" s="55" t="s">
        <v>214</v>
      </c>
      <c r="C125" s="47" t="s">
        <v>215</v>
      </c>
      <c r="D125" s="241" t="n">
        <v>1.1</v>
      </c>
      <c r="E125" s="49" t="s">
        <v>43</v>
      </c>
      <c r="F125" s="238" t="n">
        <v>0.063</v>
      </c>
    </row>
    <row r="126" customFormat="false" ht="18" hidden="false" customHeight="true" outlineLevel="0" collapsed="false">
      <c r="B126" s="55" t="s">
        <v>216</v>
      </c>
      <c r="C126" s="47" t="s">
        <v>217</v>
      </c>
      <c r="D126" s="241" t="n">
        <v>1.2</v>
      </c>
      <c r="E126" s="49" t="s">
        <v>43</v>
      </c>
      <c r="F126" s="238" t="n">
        <v>0.03</v>
      </c>
    </row>
    <row r="127" customFormat="false" ht="18" hidden="false" customHeight="true" outlineLevel="0" collapsed="false">
      <c r="B127" s="55" t="s">
        <v>218</v>
      </c>
      <c r="C127" s="47" t="s">
        <v>219</v>
      </c>
      <c r="D127" s="241" t="n">
        <v>182</v>
      </c>
      <c r="E127" s="49" t="s">
        <v>220</v>
      </c>
      <c r="F127" s="238" t="n">
        <v>0.037</v>
      </c>
    </row>
    <row r="128" customFormat="false" ht="18" hidden="false" customHeight="true" outlineLevel="0" collapsed="false">
      <c r="B128" s="55" t="s">
        <v>25</v>
      </c>
      <c r="C128" s="47" t="s">
        <v>221</v>
      </c>
      <c r="D128" s="241" t="n">
        <v>1.2</v>
      </c>
      <c r="E128" s="49" t="s">
        <v>222</v>
      </c>
      <c r="F128" s="242"/>
    </row>
  </sheetData>
  <sheetProtection algorithmName="SHA-512" hashValue="E3SiHVsdXGgyH8gQiDU/PN5Du2KqIss/Brq855bWtp3oG6kXEIatyfJZvtbSNmBAzAj378bnzqxGgoPxpt1MZg==" saltValue="h4/RUpZY1BxQYnQzBndQxg==" spinCount="100000" sheet="true" formatColumns="false" formatRows="false" selectLockedCells="true"/>
  <protectedRanges>
    <protectedRange name="UserInputs" sqref="D86 F86 D81:D82 D16 D18:D19 F18 D21 D11:D12 D24 F110"/>
    <protectedRange name="UserInputs_1" sqref="D64 D61 F61"/>
    <protectedRange name="UserInputs_3" sqref="D10"/>
    <protectedRange name="UserInputs_2" sqref="D22"/>
    <protectedRange name="UserInputs_4" sqref="D27"/>
    <protectedRange name="UserInputs_5" sqref="D35 F35 D32 F32"/>
    <protectedRange name="UserInputs_6" sqref="D72 F72"/>
  </protectedRanges>
  <mergeCells count="16">
    <mergeCell ref="B1:G1"/>
    <mergeCell ref="P2:U2"/>
    <mergeCell ref="B26:C26"/>
    <mergeCell ref="B30:C30"/>
    <mergeCell ref="B34:D34"/>
    <mergeCell ref="B41:F41"/>
    <mergeCell ref="B47:C47"/>
    <mergeCell ref="B69:F69"/>
    <mergeCell ref="B71:D71"/>
    <mergeCell ref="B76:F76"/>
    <mergeCell ref="B85:D85"/>
    <mergeCell ref="B92:F92"/>
    <mergeCell ref="D95:J95"/>
    <mergeCell ref="B102:E102"/>
    <mergeCell ref="B107:E107"/>
    <mergeCell ref="B113:C113"/>
  </mergeCells>
  <conditionalFormatting sqref="D88">
    <cfRule type="cellIs" priority="2" operator="equal" aboveAverage="0" equalAverage="0" bottom="0" percent="0" rank="0" text="" dxfId="0">
      <formula>1</formula>
    </cfRule>
  </conditionalFormatting>
  <conditionalFormatting sqref="D89">
    <cfRule type="cellIs" priority="3" operator="lessThan" aboveAverage="0" equalAverage="0" bottom="0" percent="0" rank="0" text="" dxfId="1">
      <formula>$D$80</formula>
    </cfRule>
  </conditionalFormatting>
  <conditionalFormatting sqref="D22">
    <cfRule type="cellIs" priority="4" operator="lessThan" aboveAverage="0" equalAverage="0" bottom="0" percent="0" rank="0" text="" dxfId="2">
      <formula>$D$21</formula>
    </cfRule>
  </conditionalFormatting>
  <conditionalFormatting sqref="D11">
    <cfRule type="cellIs" priority="5" operator="greaterThan" aboveAverage="0" equalAverage="0" bottom="0" percent="0" rank="0" text="" dxfId="3">
      <formula>$D$13</formula>
    </cfRule>
  </conditionalFormatting>
  <conditionalFormatting sqref="D20">
    <cfRule type="cellIs" priority="6" operator="greaterThanOrEqual" aboveAverage="0" equalAverage="0" bottom="0" percent="0" rank="0" text="" dxfId="4">
      <formula>$D$12</formula>
    </cfRule>
  </conditionalFormatting>
  <conditionalFormatting sqref="D95">
    <cfRule type="cellIs" priority="7" operator="equal" aboveAverage="0" equalAverage="0" bottom="0" percent="0" rank="0" text="" dxfId="5">
      <formula>"YES"</formula>
    </cfRule>
    <cfRule type="cellIs" priority="8" operator="notEqual" aboveAverage="0" equalAverage="0" bottom="0" percent="0" rank="0" text="" dxfId="6">
      <formula>"YES"</formula>
    </cfRule>
  </conditionalFormatting>
  <conditionalFormatting sqref="D15">
    <cfRule type="cellIs" priority="9" operator="greaterThan" aboveAverage="0" equalAverage="0" bottom="0" percent="0" rank="0" text="" dxfId="7">
      <formula>23</formula>
    </cfRule>
  </conditionalFormatting>
  <conditionalFormatting sqref="D67">
    <cfRule type="cellIs" priority="10" operator="lessThan" aboveAverage="0" equalAverage="0" bottom="0" percent="0" rank="0" text="" dxfId="8">
      <formula>10</formula>
    </cfRule>
  </conditionalFormatting>
  <conditionalFormatting sqref="D54 D38">
    <cfRule type="cellIs" priority="11" operator="lessThan" aboveAverage="0" equalAverage="0" bottom="0" percent="0" rank="0" text="" dxfId="9">
      <formula>1</formula>
    </cfRule>
  </conditionalFormatting>
  <conditionalFormatting sqref="D16">
    <cfRule type="cellIs" priority="12" operator="greaterThanOrEqual" aboveAverage="0" equalAverage="0" bottom="0" percent="0" rank="0" text="" dxfId="10">
      <formula>$D$12</formula>
    </cfRule>
  </conditionalFormatting>
  <conditionalFormatting sqref="D81 D18">
    <cfRule type="expression" priority="13" aboveAverage="0" equalAverage="0" bottom="0" percent="0" rank="0" text="" dxfId="11">
      <formula>$D$95&lt;&gt;"YES"</formula>
    </cfRule>
  </conditionalFormatting>
  <conditionalFormatting sqref="D82">
    <cfRule type="cellIs" priority="14" operator="greaterThan" aboveAverage="0" equalAverage="0" bottom="0" percent="0" rank="0" text="" dxfId="12">
      <formula>$D$73</formula>
    </cfRule>
  </conditionalFormatting>
  <conditionalFormatting sqref="D21">
    <cfRule type="cellIs" priority="15" operator="greaterThan" aboveAverage="0" equalAverage="0" bottom="0" percent="0" rank="0" text="" dxfId="13">
      <formula>5.5</formula>
    </cfRule>
  </conditionalFormatting>
  <conditionalFormatting sqref="D12">
    <cfRule type="cellIs" priority="16" operator="greaterThan" aboveAverage="0" equalAverage="0" bottom="0" percent="0" rank="0" text="" dxfId="14">
      <formula>$D$15</formula>
    </cfRule>
  </conditionalFormatting>
  <conditionalFormatting sqref="D16">
    <cfRule type="cellIs" priority="17" operator="lessThan" aboveAverage="0" equalAverage="0" bottom="0" percent="0" rank="0" text="" dxfId="15">
      <formula>$D$17</formula>
    </cfRule>
  </conditionalFormatting>
  <conditionalFormatting sqref="D19">
    <cfRule type="cellIs" priority="18" operator="lessThan" aboveAverage="0" equalAverage="0" bottom="0" percent="0" rank="0" text="" dxfId="16">
      <formula>$G$19</formula>
    </cfRule>
    <cfRule type="expression" priority="19" aboveAverage="0" equalAverage="0" bottom="0" percent="0" rank="0" text="" dxfId="17">
      <formula>$D$95&lt;&gt;"YES"</formula>
    </cfRule>
  </conditionalFormatting>
  <dataValidations count="21">
    <dataValidation allowBlank="true" error="Enter a value less than Ilimit_final" errorStyle="stop" errorTitle="Error (Reenter the Value)" operator="lessThanOrEqual" prompt="Enter a value less than Ilimit_final" promptTitle="Restriction" showDropDown="false" showErrorMessage="true" showInputMessage="true" sqref="D82" type="decimal">
      <formula1>D73</formula1>
      <formula2>0</formula2>
    </dataValidation>
    <dataValidation allowBlank="false" error="Only values greater than UVref will be accepted" errorStyle="stop" errorTitle="Error (Reenter the Value)" operator="between" prompt="Please enter a value greater than UVref" promptTitle="Restriction" showDropDown="false" showErrorMessage="false" showInputMessage="false" sqref="D17" type="none">
      <formula1>0</formula1>
      <formula2>0</formula2>
    </dataValidation>
    <dataValidation allowBlank="false" error="Start-up Load Resistor is &lt; VCC(max)/Imax, this will prevent start-up." errorStyle="stop" errorTitle="ERROR!!" operator="greaterThan" prompt="Start-up Load must be &gt; VCC(max)/Imax" showDropDown="false" showErrorMessage="true" showInputMessage="true" sqref="D19" type="decimal">
      <formula1>G19</formula1>
      <formula2>0</formula2>
    </dataValidation>
    <dataValidation allowBlank="true" error="Only values &gt;= Tchg_fastest will be accepted" errorStyle="stop" errorTitle="Error (Reenter the Value)" operator="greaterThanOrEqual" prompt="Enter a value &gt;= Tchg_fastest" promptTitle="Restriction" showDropDown="false" showErrorMessage="true" showInputMessage="true" sqref="D81" type="decimal">
      <formula1>D80</formula1>
      <formula2>0</formula2>
    </dataValidation>
    <dataValidation allowBlank="true" error="Imax &lt;= 5.5 ,Recommended operating conditions" errorStyle="stop" operator="lessThanOrEqual" prompt="Imax &lt;= 5.5 A" showDropDown="false" showErrorMessage="true" showInputMessage="true" sqref="D21" type="decimal">
      <formula1>5.5</formula1>
      <formula2>0</formula2>
    </dataValidation>
    <dataValidation allowBlank="false" error="Only values greater than Tchg_min will be accepted" errorStyle="stop" errorTitle="Error (Reenter the Value)" operator="between" prompt="Please enter a value greater than Tchg_min calculated" promptTitle="Restriction" showDropDown="false" showErrorMessage="true" showInputMessage="true" sqref="K91" type="custom">
      <formula1>K91&gt;K90</formula1>
      <formula2>0</formula2>
    </dataValidation>
    <dataValidation allowBlank="true" errorStyle="stop" operator="between" prompt="Considered 20% as design margin" showDropDown="false" showErrorMessage="true" showInputMessage="true" sqref="D95" type="none">
      <formula1>0</formula1>
      <formula2>0</formula2>
    </dataValidation>
    <dataValidation allowBlank="true" error="Use OPEN or &gt;=1 nF" errorStyle="stop" operator="greaterThanOrEqual" prompt="Use OPEN or &gt;=1 nF" showDropDown="false" showErrorMessage="true" showInputMessage="true" sqref="D86" type="none">
      <formula1>0</formula1>
      <formula2>0</formula2>
    </dataValidation>
    <dataValidation allowBlank="false" error="VIN(operating max) must be &lt; OVLO Set Point" errorStyle="stop" operator="lessThanOrEqual" prompt="VIN(max) must be &lt; OVLO Set Point" showDropDown="false" showErrorMessage="true" showInputMessage="true" sqref="D12" type="decimal">
      <formula1>D15</formula1>
      <formula2>0</formula2>
    </dataValidation>
    <dataValidation allowBlank="true" error="UVset must be &gt;VUVP and &lt; VIN(max)  " errorStyle="stop" operator="lessThanOrEqual" prompt="UVset must be &gt;VUVP and &lt; VIN(max)   " showDropDown="false" showErrorMessage="true" showInputMessage="true" sqref="D16" type="decimal">
      <formula1>D12</formula1>
      <formula2>0</formula2>
    </dataValidation>
    <dataValidation allowBlank="true" error="PG threshold should be less than maximum input voltage " errorStyle="stop" operator="lessThanOrEqual" showDropDown="false" showErrorMessage="true" showInputMessage="true" sqref="D60" type="decimal">
      <formula1>Vcc_max</formula1>
      <formula2>0</formula2>
    </dataValidation>
    <dataValidation allowBlank="true" error="-40 &lt; TA,MAX &lt;= 125" errorStyle="stop" operator="between" prompt="-40 &lt; TA,MAX &lt;= 125" showDropDown="false" showErrorMessage="true" showInputMessage="true" sqref="D24" type="decimal">
      <formula1>-40</formula1>
      <formula2>125</formula2>
    </dataValidation>
    <dataValidation allowBlank="true" errorStyle="stop" operator="between" prompt="Select R1, R2 and R3 such that I_R123 is &gt; 1 uA" showDropDown="false" showErrorMessage="true" showInputMessage="true" sqref="D54" type="none">
      <formula1>0</formula1>
      <formula2>0</formula2>
    </dataValidation>
    <dataValidation allowBlank="true" errorStyle="stop" operator="between" prompt="Select R4 and R5 such that I_R45 &gt; 10uA" showDropDown="false" showErrorMessage="true" showInputMessage="true" sqref="D67" type="none">
      <formula1>0</formula1>
      <formula2>0</formula2>
    </dataValidation>
    <dataValidation allowBlank="true" error="OVLO Set Point Should be &lt; 23V" errorStyle="stop" operator="lessThanOrEqual" prompt="OVLO set point should be less than maximum recommended input voltage" showDropDown="false" showErrorMessage="true" showInputMessage="true" sqref="D15" type="decimal">
      <formula1>23</formula1>
      <formula2>0</formula2>
    </dataValidation>
    <dataValidation allowBlank="true" errorStyle="stop" operator="lessThan" prompt="Enter value less than maximum input voltage" showDropDown="false" showErrorMessage="true" showInputMessage="true" sqref="D20" type="decimal">
      <formula1>Vcc_max</formula1>
      <formula2>0</formula2>
    </dataValidation>
    <dataValidation allowBlank="true" error="Choose from the drop-down list" errorStyle="stop" operator="between" showDropDown="false" showErrorMessage="true" showInputMessage="true" sqref="D10" type="list">
      <formula1>$P$4:$P$9</formula1>
      <formula2>0</formula2>
    </dataValidation>
    <dataValidation allowBlank="false" error="VIN(operating max) must be &lt; OVC" errorStyle="stop" operator="lessThanOrEqual" prompt="VIN(max) must be &lt; OVC&#10;" showDropDown="false" showErrorMessage="true" showInputMessage="true" sqref="D11" type="decimal">
      <formula1>D13</formula1>
      <formula2>0</formula2>
    </dataValidation>
    <dataValidation allowBlank="true" errorStyle="stop" operator="between" showDropDown="false" showErrorMessage="true" showInputMessage="true" sqref="D13" type="list">
      <formula1>$W$3:$Y$3</formula1>
      <formula2>0</formula2>
    </dataValidation>
    <dataValidation allowBlank="true" error="0.5 &lt;= Ilimit &lt;= 6" errorStyle="stop" operator="between" prompt="0.5 &lt;= Ilimit &lt;= 6" showDropDown="false" showErrorMessage="true" showInputMessage="true" sqref="D22" type="decimal">
      <formula1>0.5</formula1>
      <formula2>6</formula2>
    </dataValidation>
    <dataValidation allowBlank="true" errorStyle="stop" operator="between" prompt="Select R1 and R2 such that I_R12 is &gt; 1 uA" showDropDown="false" showErrorMessage="true" showInputMessage="true" sqref="D38" type="none">
      <formula1>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9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G7" activeCellId="0" sqref="G7"/>
    </sheetView>
  </sheetViews>
  <sheetFormatPr defaultColWidth="8.4453125" defaultRowHeight="14.25" customHeight="false" zeroHeight="false" outlineLevelRow="0" outlineLevelCol="0"/>
  <cols>
    <col collapsed="false" customWidth="true" hidden="false" outlineLevel="0" max="6" min="1" style="141" width="18.64"/>
    <col collapsed="false" customWidth="true" hidden="false" outlineLevel="0" max="262" min="257" style="141" width="18.64"/>
    <col collapsed="false" customWidth="true" hidden="false" outlineLevel="0" max="518" min="513" style="141" width="18.64"/>
    <col collapsed="false" customWidth="true" hidden="false" outlineLevel="0" max="774" min="769" style="141" width="18.64"/>
    <col collapsed="false" customWidth="true" hidden="false" outlineLevel="0" max="1030" min="1025" style="141" width="18.64"/>
    <col collapsed="false" customWidth="true" hidden="false" outlineLevel="0" max="1286" min="1281" style="141" width="18.64"/>
    <col collapsed="false" customWidth="true" hidden="false" outlineLevel="0" max="1542" min="1537" style="141" width="18.64"/>
    <col collapsed="false" customWidth="true" hidden="false" outlineLevel="0" max="1798" min="1793" style="141" width="18.64"/>
    <col collapsed="false" customWidth="true" hidden="false" outlineLevel="0" max="2054" min="2049" style="141" width="18.64"/>
    <col collapsed="false" customWidth="true" hidden="false" outlineLevel="0" max="2310" min="2305" style="141" width="18.64"/>
    <col collapsed="false" customWidth="true" hidden="false" outlineLevel="0" max="2566" min="2561" style="141" width="18.64"/>
    <col collapsed="false" customWidth="true" hidden="false" outlineLevel="0" max="2822" min="2817" style="141" width="18.64"/>
    <col collapsed="false" customWidth="true" hidden="false" outlineLevel="0" max="3078" min="3073" style="141" width="18.64"/>
    <col collapsed="false" customWidth="true" hidden="false" outlineLevel="0" max="3334" min="3329" style="141" width="18.64"/>
    <col collapsed="false" customWidth="true" hidden="false" outlineLevel="0" max="3590" min="3585" style="141" width="18.64"/>
    <col collapsed="false" customWidth="true" hidden="false" outlineLevel="0" max="3846" min="3841" style="141" width="18.64"/>
    <col collapsed="false" customWidth="true" hidden="false" outlineLevel="0" max="4102" min="4097" style="141" width="18.64"/>
    <col collapsed="false" customWidth="true" hidden="false" outlineLevel="0" max="4358" min="4353" style="141" width="18.64"/>
    <col collapsed="false" customWidth="true" hidden="false" outlineLevel="0" max="4614" min="4609" style="141" width="18.64"/>
    <col collapsed="false" customWidth="true" hidden="false" outlineLevel="0" max="4870" min="4865" style="141" width="18.64"/>
    <col collapsed="false" customWidth="true" hidden="false" outlineLevel="0" max="5126" min="5121" style="141" width="18.64"/>
    <col collapsed="false" customWidth="true" hidden="false" outlineLevel="0" max="5382" min="5377" style="141" width="18.64"/>
    <col collapsed="false" customWidth="true" hidden="false" outlineLevel="0" max="5638" min="5633" style="141" width="18.64"/>
    <col collapsed="false" customWidth="true" hidden="false" outlineLevel="0" max="5894" min="5889" style="141" width="18.64"/>
    <col collapsed="false" customWidth="true" hidden="false" outlineLevel="0" max="6150" min="6145" style="141" width="18.64"/>
    <col collapsed="false" customWidth="true" hidden="false" outlineLevel="0" max="6406" min="6401" style="141" width="18.64"/>
    <col collapsed="false" customWidth="true" hidden="false" outlineLevel="0" max="6662" min="6657" style="141" width="18.64"/>
    <col collapsed="false" customWidth="true" hidden="false" outlineLevel="0" max="6918" min="6913" style="141" width="18.64"/>
    <col collapsed="false" customWidth="true" hidden="false" outlineLevel="0" max="7174" min="7169" style="141" width="18.64"/>
    <col collapsed="false" customWidth="true" hidden="false" outlineLevel="0" max="7430" min="7425" style="141" width="18.64"/>
    <col collapsed="false" customWidth="true" hidden="false" outlineLevel="0" max="7686" min="7681" style="141" width="18.64"/>
    <col collapsed="false" customWidth="true" hidden="false" outlineLevel="0" max="7942" min="7937" style="141" width="18.64"/>
    <col collapsed="false" customWidth="true" hidden="false" outlineLevel="0" max="8198" min="8193" style="141" width="18.64"/>
    <col collapsed="false" customWidth="true" hidden="false" outlineLevel="0" max="8454" min="8449" style="141" width="18.64"/>
    <col collapsed="false" customWidth="true" hidden="false" outlineLevel="0" max="8710" min="8705" style="141" width="18.64"/>
    <col collapsed="false" customWidth="true" hidden="false" outlineLevel="0" max="8966" min="8961" style="141" width="18.64"/>
    <col collapsed="false" customWidth="true" hidden="false" outlineLevel="0" max="9222" min="9217" style="141" width="18.64"/>
    <col collapsed="false" customWidth="true" hidden="false" outlineLevel="0" max="9478" min="9473" style="141" width="18.64"/>
    <col collapsed="false" customWidth="true" hidden="false" outlineLevel="0" max="9734" min="9729" style="141" width="18.64"/>
    <col collapsed="false" customWidth="true" hidden="false" outlineLevel="0" max="9990" min="9985" style="141" width="18.64"/>
    <col collapsed="false" customWidth="true" hidden="false" outlineLevel="0" max="10246" min="10241" style="141" width="18.64"/>
    <col collapsed="false" customWidth="true" hidden="false" outlineLevel="0" max="10502" min="10497" style="141" width="18.64"/>
    <col collapsed="false" customWidth="true" hidden="false" outlineLevel="0" max="10758" min="10753" style="141" width="18.64"/>
    <col collapsed="false" customWidth="true" hidden="false" outlineLevel="0" max="11014" min="11009" style="141" width="18.64"/>
    <col collapsed="false" customWidth="true" hidden="false" outlineLevel="0" max="11270" min="11265" style="141" width="18.64"/>
    <col collapsed="false" customWidth="true" hidden="false" outlineLevel="0" max="11526" min="11521" style="141" width="18.64"/>
    <col collapsed="false" customWidth="true" hidden="false" outlineLevel="0" max="11782" min="11777" style="141" width="18.64"/>
    <col collapsed="false" customWidth="true" hidden="false" outlineLevel="0" max="12038" min="12033" style="141" width="18.64"/>
    <col collapsed="false" customWidth="true" hidden="false" outlineLevel="0" max="12294" min="12289" style="141" width="18.64"/>
    <col collapsed="false" customWidth="true" hidden="false" outlineLevel="0" max="12550" min="12545" style="141" width="18.64"/>
    <col collapsed="false" customWidth="true" hidden="false" outlineLevel="0" max="12806" min="12801" style="141" width="18.64"/>
    <col collapsed="false" customWidth="true" hidden="false" outlineLevel="0" max="13062" min="13057" style="141" width="18.64"/>
    <col collapsed="false" customWidth="true" hidden="false" outlineLevel="0" max="13318" min="13313" style="141" width="18.64"/>
    <col collapsed="false" customWidth="true" hidden="false" outlineLevel="0" max="13574" min="13569" style="141" width="18.64"/>
    <col collapsed="false" customWidth="true" hidden="false" outlineLevel="0" max="13830" min="13825" style="141" width="18.64"/>
    <col collapsed="false" customWidth="true" hidden="false" outlineLevel="0" max="14086" min="14081" style="141" width="18.64"/>
    <col collapsed="false" customWidth="true" hidden="false" outlineLevel="0" max="14342" min="14337" style="141" width="18.64"/>
    <col collapsed="false" customWidth="true" hidden="false" outlineLevel="0" max="14598" min="14593" style="141" width="18.64"/>
    <col collapsed="false" customWidth="true" hidden="false" outlineLevel="0" max="14854" min="14849" style="141" width="18.64"/>
    <col collapsed="false" customWidth="true" hidden="false" outlineLevel="0" max="15110" min="15105" style="141" width="18.64"/>
    <col collapsed="false" customWidth="true" hidden="false" outlineLevel="0" max="15366" min="15361" style="141" width="18.64"/>
    <col collapsed="false" customWidth="true" hidden="false" outlineLevel="0" max="15622" min="15617" style="141" width="18.64"/>
    <col collapsed="false" customWidth="true" hidden="false" outlineLevel="0" max="15878" min="15873" style="141" width="18.64"/>
    <col collapsed="false" customWidth="true" hidden="false" outlineLevel="0" max="16134" min="16129" style="141" width="18.64"/>
  </cols>
  <sheetData>
    <row r="1" customFormat="false" ht="19.7" hidden="false" customHeight="false" outlineLevel="0" collapsed="false">
      <c r="A1" s="243" t="s">
        <v>223</v>
      </c>
      <c r="B1" s="243"/>
      <c r="C1" s="243"/>
      <c r="D1" s="243"/>
      <c r="E1" s="243"/>
      <c r="F1" s="243"/>
    </row>
    <row r="3" customFormat="false" ht="14.25" hidden="false" customHeight="false" outlineLevel="0" collapsed="false">
      <c r="A3" s="244" t="n">
        <v>0.2</v>
      </c>
      <c r="B3" s="244" t="n">
        <v>0.1</v>
      </c>
      <c r="C3" s="244" t="n">
        <v>0.05</v>
      </c>
      <c r="D3" s="244" t="n">
        <v>0.02</v>
      </c>
      <c r="E3" s="244" t="n">
        <v>0.01</v>
      </c>
      <c r="F3" s="245" t="s">
        <v>224</v>
      </c>
    </row>
    <row r="4" customFormat="false" ht="14.25" hidden="false" customHeight="false" outlineLevel="0" collapsed="false">
      <c r="A4" s="246" t="s">
        <v>225</v>
      </c>
      <c r="B4" s="246" t="s">
        <v>226</v>
      </c>
      <c r="C4" s="246" t="s">
        <v>227</v>
      </c>
      <c r="D4" s="246" t="s">
        <v>228</v>
      </c>
      <c r="E4" s="246" t="s">
        <v>229</v>
      </c>
      <c r="F4" s="246" t="s">
        <v>230</v>
      </c>
    </row>
    <row r="5" customFormat="false" ht="14.25" hidden="false" customHeight="false" outlineLevel="0" collapsed="false">
      <c r="A5" s="247" t="n">
        <v>100</v>
      </c>
      <c r="B5" s="248" t="n">
        <v>100</v>
      </c>
      <c r="C5" s="249" t="n">
        <v>100</v>
      </c>
      <c r="D5" s="250" t="n">
        <v>100</v>
      </c>
      <c r="E5" s="251" t="n">
        <v>100</v>
      </c>
      <c r="F5" s="252" t="n">
        <v>100</v>
      </c>
    </row>
    <row r="6" customFormat="false" ht="14.25" hidden="false" customHeight="false" outlineLevel="0" collapsed="false">
      <c r="A6" s="247"/>
      <c r="B6" s="248"/>
      <c r="C6" s="249"/>
      <c r="D6" s="250"/>
      <c r="E6" s="251"/>
      <c r="F6" s="252" t="n">
        <v>101</v>
      </c>
    </row>
    <row r="7" customFormat="false" ht="14.25" hidden="false" customHeight="false" outlineLevel="0" collapsed="false">
      <c r="A7" s="247"/>
      <c r="B7" s="248"/>
      <c r="C7" s="249"/>
      <c r="D7" s="250"/>
      <c r="E7" s="251" t="n">
        <v>102</v>
      </c>
      <c r="F7" s="252" t="n">
        <v>102</v>
      </c>
    </row>
    <row r="8" customFormat="false" ht="14.25" hidden="false" customHeight="false" outlineLevel="0" collapsed="false">
      <c r="A8" s="247"/>
      <c r="B8" s="248"/>
      <c r="C8" s="249"/>
      <c r="D8" s="250"/>
      <c r="E8" s="251"/>
      <c r="F8" s="252" t="n">
        <v>104</v>
      </c>
    </row>
    <row r="9" customFormat="false" ht="14.25" hidden="false" customHeight="false" outlineLevel="0" collapsed="false">
      <c r="A9" s="247"/>
      <c r="B9" s="248"/>
      <c r="C9" s="249"/>
      <c r="D9" s="250" t="n">
        <v>105</v>
      </c>
      <c r="E9" s="251" t="n">
        <v>105</v>
      </c>
      <c r="F9" s="252" t="n">
        <v>105</v>
      </c>
    </row>
    <row r="10" customFormat="false" ht="14.25" hidden="false" customHeight="false" outlineLevel="0" collapsed="false">
      <c r="A10" s="247"/>
      <c r="B10" s="248"/>
      <c r="C10" s="249"/>
      <c r="D10" s="250"/>
      <c r="E10" s="251"/>
      <c r="F10" s="252" t="n">
        <v>106</v>
      </c>
      <c r="I10" s="253"/>
    </row>
    <row r="11" customFormat="false" ht="14.25" hidden="false" customHeight="false" outlineLevel="0" collapsed="false">
      <c r="A11" s="247"/>
      <c r="B11" s="248"/>
      <c r="C11" s="249"/>
      <c r="D11" s="250"/>
      <c r="E11" s="251" t="n">
        <v>107</v>
      </c>
      <c r="F11" s="252" t="n">
        <v>107</v>
      </c>
    </row>
    <row r="12" customFormat="false" ht="14.25" hidden="false" customHeight="false" outlineLevel="0" collapsed="false">
      <c r="A12" s="247"/>
      <c r="B12" s="248"/>
      <c r="C12" s="249"/>
      <c r="D12" s="250"/>
      <c r="E12" s="251"/>
      <c r="F12" s="252" t="n">
        <v>109</v>
      </c>
    </row>
    <row r="13" customFormat="false" ht="14.25" hidden="false" customHeight="false" outlineLevel="0" collapsed="false">
      <c r="A13" s="247"/>
      <c r="B13" s="248"/>
      <c r="C13" s="249" t="n">
        <v>110</v>
      </c>
      <c r="D13" s="250" t="n">
        <v>110</v>
      </c>
      <c r="E13" s="251" t="n">
        <v>110</v>
      </c>
      <c r="F13" s="252" t="n">
        <v>110</v>
      </c>
    </row>
    <row r="14" customFormat="false" ht="14.25" hidden="false" customHeight="false" outlineLevel="0" collapsed="false">
      <c r="A14" s="247"/>
      <c r="B14" s="248"/>
      <c r="C14" s="249"/>
      <c r="D14" s="250"/>
      <c r="E14" s="251"/>
      <c r="F14" s="252" t="n">
        <v>111</v>
      </c>
    </row>
    <row r="15" customFormat="false" ht="14.25" hidden="false" customHeight="false" outlineLevel="0" collapsed="false">
      <c r="A15" s="247"/>
      <c r="B15" s="248"/>
      <c r="C15" s="249"/>
      <c r="D15" s="250"/>
      <c r="E15" s="251" t="n">
        <v>113</v>
      </c>
      <c r="F15" s="252" t="n">
        <v>113</v>
      </c>
    </row>
    <row r="16" customFormat="false" ht="14.25" hidden="false" customHeight="false" outlineLevel="0" collapsed="false">
      <c r="A16" s="247"/>
      <c r="B16" s="248"/>
      <c r="C16" s="249"/>
      <c r="D16" s="250"/>
      <c r="E16" s="251"/>
      <c r="F16" s="252" t="n">
        <v>114</v>
      </c>
    </row>
    <row r="17" customFormat="false" ht="14.25" hidden="false" customHeight="false" outlineLevel="0" collapsed="false">
      <c r="A17" s="247"/>
      <c r="B17" s="248"/>
      <c r="C17" s="249"/>
      <c r="D17" s="250" t="n">
        <v>115</v>
      </c>
      <c r="E17" s="251" t="n">
        <v>115</v>
      </c>
      <c r="F17" s="252" t="n">
        <v>115</v>
      </c>
    </row>
    <row r="18" customFormat="false" ht="14.25" hidden="false" customHeight="false" outlineLevel="0" collapsed="false">
      <c r="A18" s="247"/>
      <c r="B18" s="248"/>
      <c r="C18" s="249"/>
      <c r="D18" s="250"/>
      <c r="E18" s="251"/>
      <c r="F18" s="252" t="n">
        <v>117</v>
      </c>
    </row>
    <row r="19" customFormat="false" ht="14.25" hidden="false" customHeight="false" outlineLevel="0" collapsed="false">
      <c r="A19" s="247"/>
      <c r="B19" s="248"/>
      <c r="C19" s="249"/>
      <c r="D19" s="250"/>
      <c r="E19" s="251" t="n">
        <v>118</v>
      </c>
      <c r="F19" s="252" t="n">
        <v>118</v>
      </c>
    </row>
    <row r="20" customFormat="false" ht="14.25" hidden="false" customHeight="false" outlineLevel="0" collapsed="false">
      <c r="A20" s="247"/>
      <c r="B20" s="248"/>
      <c r="C20" s="249"/>
      <c r="D20" s="250"/>
      <c r="E20" s="251"/>
      <c r="F20" s="252" t="n">
        <v>120</v>
      </c>
    </row>
    <row r="21" customFormat="false" ht="14.25" hidden="false" customHeight="false" outlineLevel="0" collapsed="false">
      <c r="A21" s="247"/>
      <c r="B21" s="248" t="n">
        <v>120</v>
      </c>
      <c r="C21" s="249" t="n">
        <v>120</v>
      </c>
      <c r="D21" s="250" t="n">
        <v>121</v>
      </c>
      <c r="E21" s="251" t="n">
        <v>121</v>
      </c>
      <c r="F21" s="252" t="n">
        <v>121</v>
      </c>
    </row>
    <row r="22" customFormat="false" ht="14.25" hidden="false" customHeight="false" outlineLevel="0" collapsed="false">
      <c r="A22" s="247"/>
      <c r="B22" s="248"/>
      <c r="C22" s="249"/>
      <c r="D22" s="250"/>
      <c r="E22" s="251"/>
      <c r="F22" s="252" t="n">
        <v>123</v>
      </c>
    </row>
    <row r="23" customFormat="false" ht="14.25" hidden="false" customHeight="false" outlineLevel="0" collapsed="false">
      <c r="A23" s="247"/>
      <c r="B23" s="248"/>
      <c r="C23" s="249"/>
      <c r="D23" s="250"/>
      <c r="E23" s="251" t="n">
        <v>124</v>
      </c>
      <c r="F23" s="252" t="n">
        <v>124</v>
      </c>
    </row>
    <row r="24" customFormat="false" ht="14.25" hidden="false" customHeight="false" outlineLevel="0" collapsed="false">
      <c r="A24" s="247"/>
      <c r="B24" s="248"/>
      <c r="C24" s="249"/>
      <c r="D24" s="250"/>
      <c r="E24" s="251"/>
      <c r="F24" s="252" t="n">
        <v>126</v>
      </c>
    </row>
    <row r="25" customFormat="false" ht="14.25" hidden="false" customHeight="false" outlineLevel="0" collapsed="false">
      <c r="A25" s="247"/>
      <c r="B25" s="248"/>
      <c r="C25" s="249"/>
      <c r="D25" s="250" t="n">
        <v>127</v>
      </c>
      <c r="E25" s="251" t="n">
        <v>127</v>
      </c>
      <c r="F25" s="252" t="n">
        <v>127</v>
      </c>
    </row>
    <row r="26" customFormat="false" ht="14.25" hidden="false" customHeight="false" outlineLevel="0" collapsed="false">
      <c r="A26" s="247"/>
      <c r="B26" s="248"/>
      <c r="C26" s="249"/>
      <c r="D26" s="250"/>
      <c r="E26" s="251"/>
      <c r="F26" s="252" t="n">
        <v>129</v>
      </c>
    </row>
    <row r="27" customFormat="false" ht="14.25" hidden="false" customHeight="false" outlineLevel="0" collapsed="false">
      <c r="A27" s="247"/>
      <c r="B27" s="248"/>
      <c r="C27" s="249"/>
      <c r="D27" s="250"/>
      <c r="E27" s="251" t="n">
        <v>130</v>
      </c>
      <c r="F27" s="252" t="n">
        <v>130</v>
      </c>
    </row>
    <row r="28" customFormat="false" ht="14.25" hidden="false" customHeight="false" outlineLevel="0" collapsed="false">
      <c r="A28" s="247"/>
      <c r="B28" s="248"/>
      <c r="C28" s="249"/>
      <c r="D28" s="250"/>
      <c r="E28" s="251"/>
      <c r="F28" s="252" t="n">
        <v>132</v>
      </c>
    </row>
    <row r="29" customFormat="false" ht="14.25" hidden="false" customHeight="false" outlineLevel="0" collapsed="false">
      <c r="A29" s="247"/>
      <c r="B29" s="248"/>
      <c r="C29" s="249" t="n">
        <v>130</v>
      </c>
      <c r="D29" s="250" t="n">
        <v>133</v>
      </c>
      <c r="E29" s="251" t="n">
        <v>133</v>
      </c>
      <c r="F29" s="252" t="n">
        <v>133</v>
      </c>
    </row>
    <row r="30" customFormat="false" ht="14.25" hidden="false" customHeight="false" outlineLevel="0" collapsed="false">
      <c r="A30" s="247"/>
      <c r="B30" s="248"/>
      <c r="C30" s="249"/>
      <c r="D30" s="250"/>
      <c r="E30" s="251"/>
      <c r="F30" s="252" t="n">
        <v>135</v>
      </c>
    </row>
    <row r="31" customFormat="false" ht="14.25" hidden="false" customHeight="false" outlineLevel="0" collapsed="false">
      <c r="A31" s="247"/>
      <c r="B31" s="248"/>
      <c r="C31" s="249"/>
      <c r="D31" s="250"/>
      <c r="E31" s="251" t="n">
        <v>137</v>
      </c>
      <c r="F31" s="252" t="n">
        <v>137</v>
      </c>
    </row>
    <row r="32" customFormat="false" ht="14.25" hidden="false" customHeight="false" outlineLevel="0" collapsed="false">
      <c r="A32" s="247"/>
      <c r="B32" s="248"/>
      <c r="C32" s="249"/>
      <c r="D32" s="250"/>
      <c r="E32" s="251"/>
      <c r="F32" s="252" t="n">
        <v>138</v>
      </c>
    </row>
    <row r="33" customFormat="false" ht="14.25" hidden="false" customHeight="false" outlineLevel="0" collapsed="false">
      <c r="A33" s="247"/>
      <c r="B33" s="248"/>
      <c r="C33" s="249"/>
      <c r="D33" s="250" t="n">
        <v>140</v>
      </c>
      <c r="E33" s="251" t="n">
        <v>140</v>
      </c>
      <c r="F33" s="252" t="n">
        <v>140</v>
      </c>
    </row>
    <row r="34" customFormat="false" ht="14.25" hidden="false" customHeight="false" outlineLevel="0" collapsed="false">
      <c r="A34" s="247"/>
      <c r="B34" s="248"/>
      <c r="C34" s="249"/>
      <c r="D34" s="250"/>
      <c r="E34" s="251"/>
      <c r="F34" s="252" t="n">
        <v>142</v>
      </c>
    </row>
    <row r="35" customFormat="false" ht="14.25" hidden="false" customHeight="false" outlineLevel="0" collapsed="false">
      <c r="A35" s="247"/>
      <c r="B35" s="248"/>
      <c r="C35" s="249"/>
      <c r="D35" s="250"/>
      <c r="E35" s="251" t="n">
        <v>143</v>
      </c>
      <c r="F35" s="252" t="n">
        <v>143</v>
      </c>
    </row>
    <row r="36" customFormat="false" ht="14.25" hidden="false" customHeight="false" outlineLevel="0" collapsed="false">
      <c r="A36" s="247"/>
      <c r="B36" s="248"/>
      <c r="C36" s="249"/>
      <c r="D36" s="250"/>
      <c r="E36" s="251"/>
      <c r="F36" s="252" t="n">
        <v>145</v>
      </c>
    </row>
    <row r="37" customFormat="false" ht="14.25" hidden="false" customHeight="false" outlineLevel="0" collapsed="false">
      <c r="A37" s="247" t="n">
        <v>150</v>
      </c>
      <c r="B37" s="248" t="n">
        <v>150</v>
      </c>
      <c r="C37" s="249" t="n">
        <v>150</v>
      </c>
      <c r="D37" s="250" t="n">
        <v>147</v>
      </c>
      <c r="E37" s="251" t="n">
        <v>147</v>
      </c>
      <c r="F37" s="252" t="n">
        <v>147</v>
      </c>
    </row>
    <row r="38" customFormat="false" ht="14.25" hidden="false" customHeight="false" outlineLevel="0" collapsed="false">
      <c r="A38" s="247"/>
      <c r="B38" s="248"/>
      <c r="C38" s="249"/>
      <c r="D38" s="250"/>
      <c r="E38" s="251"/>
      <c r="F38" s="252" t="n">
        <v>149</v>
      </c>
    </row>
    <row r="39" customFormat="false" ht="14.25" hidden="false" customHeight="false" outlineLevel="0" collapsed="false">
      <c r="A39" s="247"/>
      <c r="B39" s="248"/>
      <c r="C39" s="249"/>
      <c r="D39" s="250"/>
      <c r="E39" s="251" t="n">
        <v>150</v>
      </c>
      <c r="F39" s="252" t="n">
        <v>150</v>
      </c>
    </row>
    <row r="40" customFormat="false" ht="14.25" hidden="false" customHeight="false" outlineLevel="0" collapsed="false">
      <c r="A40" s="247"/>
      <c r="B40" s="248"/>
      <c r="C40" s="249"/>
      <c r="D40" s="250"/>
      <c r="E40" s="251"/>
      <c r="F40" s="252" t="n">
        <v>152</v>
      </c>
    </row>
    <row r="41" customFormat="false" ht="14.25" hidden="false" customHeight="false" outlineLevel="0" collapsed="false">
      <c r="A41" s="247"/>
      <c r="B41" s="248"/>
      <c r="C41" s="249"/>
      <c r="D41" s="250" t="n">
        <v>154</v>
      </c>
      <c r="E41" s="251" t="n">
        <v>154</v>
      </c>
      <c r="F41" s="252" t="n">
        <v>154</v>
      </c>
    </row>
    <row r="42" customFormat="false" ht="14.25" hidden="false" customHeight="false" outlineLevel="0" collapsed="false">
      <c r="A42" s="247"/>
      <c r="B42" s="248"/>
      <c r="C42" s="249"/>
      <c r="D42" s="250"/>
      <c r="E42" s="251"/>
      <c r="F42" s="252" t="n">
        <v>156</v>
      </c>
    </row>
    <row r="43" customFormat="false" ht="14.25" hidden="false" customHeight="false" outlineLevel="0" collapsed="false">
      <c r="A43" s="247"/>
      <c r="B43" s="248"/>
      <c r="C43" s="249"/>
      <c r="D43" s="250"/>
      <c r="E43" s="251" t="n">
        <v>158</v>
      </c>
      <c r="F43" s="252" t="n">
        <v>158</v>
      </c>
    </row>
    <row r="44" customFormat="false" ht="14.25" hidden="false" customHeight="false" outlineLevel="0" collapsed="false">
      <c r="A44" s="247"/>
      <c r="B44" s="248"/>
      <c r="C44" s="249"/>
      <c r="D44" s="250"/>
      <c r="E44" s="251"/>
      <c r="F44" s="252" t="n">
        <v>160</v>
      </c>
    </row>
    <row r="45" customFormat="false" ht="14.25" hidden="false" customHeight="false" outlineLevel="0" collapsed="false">
      <c r="A45" s="247"/>
      <c r="B45" s="248"/>
      <c r="C45" s="249" t="n">
        <v>160</v>
      </c>
      <c r="D45" s="250" t="n">
        <v>162</v>
      </c>
      <c r="E45" s="251" t="n">
        <v>162</v>
      </c>
      <c r="F45" s="252" t="n">
        <v>162</v>
      </c>
    </row>
    <row r="46" customFormat="false" ht="14.25" hidden="false" customHeight="false" outlineLevel="0" collapsed="false">
      <c r="A46" s="247"/>
      <c r="B46" s="248"/>
      <c r="C46" s="249"/>
      <c r="D46" s="250"/>
      <c r="E46" s="251"/>
      <c r="F46" s="252" t="n">
        <v>164</v>
      </c>
    </row>
    <row r="47" customFormat="false" ht="14.25" hidden="false" customHeight="false" outlineLevel="0" collapsed="false">
      <c r="A47" s="247"/>
      <c r="B47" s="248"/>
      <c r="C47" s="249"/>
      <c r="D47" s="250"/>
      <c r="E47" s="251" t="n">
        <v>165</v>
      </c>
      <c r="F47" s="252" t="n">
        <v>165</v>
      </c>
    </row>
    <row r="48" customFormat="false" ht="14.25" hidden="false" customHeight="false" outlineLevel="0" collapsed="false">
      <c r="A48" s="247"/>
      <c r="B48" s="248"/>
      <c r="C48" s="249"/>
      <c r="D48" s="250"/>
      <c r="E48" s="251"/>
      <c r="F48" s="252" t="n">
        <v>167</v>
      </c>
    </row>
    <row r="49" customFormat="false" ht="14.25" hidden="false" customHeight="false" outlineLevel="0" collapsed="false">
      <c r="A49" s="247"/>
      <c r="B49" s="248"/>
      <c r="C49" s="249"/>
      <c r="D49" s="250" t="n">
        <v>169</v>
      </c>
      <c r="E49" s="251" t="n">
        <v>169</v>
      </c>
      <c r="F49" s="252" t="n">
        <v>169</v>
      </c>
    </row>
    <row r="50" customFormat="false" ht="14.25" hidden="false" customHeight="false" outlineLevel="0" collapsed="false">
      <c r="A50" s="247"/>
      <c r="B50" s="248"/>
      <c r="C50" s="249"/>
      <c r="D50" s="250"/>
      <c r="E50" s="251"/>
      <c r="F50" s="252" t="n">
        <v>172</v>
      </c>
    </row>
    <row r="51" customFormat="false" ht="14.25" hidden="false" customHeight="false" outlineLevel="0" collapsed="false">
      <c r="A51" s="247"/>
      <c r="B51" s="248"/>
      <c r="C51" s="249"/>
      <c r="D51" s="250"/>
      <c r="E51" s="251" t="n">
        <v>174</v>
      </c>
      <c r="F51" s="252" t="n">
        <v>174</v>
      </c>
    </row>
    <row r="52" customFormat="false" ht="14.25" hidden="false" customHeight="false" outlineLevel="0" collapsed="false">
      <c r="A52" s="247"/>
      <c r="B52" s="248"/>
      <c r="C52" s="249"/>
      <c r="D52" s="250"/>
      <c r="E52" s="251"/>
      <c r="F52" s="252" t="n">
        <v>176</v>
      </c>
    </row>
    <row r="53" customFormat="false" ht="14.25" hidden="false" customHeight="false" outlineLevel="0" collapsed="false">
      <c r="A53" s="247"/>
      <c r="B53" s="248" t="n">
        <v>180</v>
      </c>
      <c r="C53" s="249" t="n">
        <v>180</v>
      </c>
      <c r="D53" s="250" t="n">
        <v>178</v>
      </c>
      <c r="E53" s="251" t="n">
        <v>178</v>
      </c>
      <c r="F53" s="252" t="n">
        <v>178</v>
      </c>
    </row>
    <row r="54" customFormat="false" ht="14.25" hidden="false" customHeight="false" outlineLevel="0" collapsed="false">
      <c r="A54" s="247"/>
      <c r="B54" s="248"/>
      <c r="C54" s="249"/>
      <c r="D54" s="250"/>
      <c r="E54" s="251"/>
      <c r="F54" s="252" t="n">
        <v>180</v>
      </c>
    </row>
    <row r="55" customFormat="false" ht="14.25" hidden="false" customHeight="false" outlineLevel="0" collapsed="false">
      <c r="A55" s="247"/>
      <c r="B55" s="248"/>
      <c r="C55" s="249"/>
      <c r="D55" s="250"/>
      <c r="E55" s="251" t="n">
        <v>182</v>
      </c>
      <c r="F55" s="252" t="n">
        <v>182</v>
      </c>
    </row>
    <row r="56" customFormat="false" ht="14.25" hidden="false" customHeight="false" outlineLevel="0" collapsed="false">
      <c r="A56" s="247"/>
      <c r="B56" s="248"/>
      <c r="C56" s="249"/>
      <c r="D56" s="250"/>
      <c r="E56" s="251"/>
      <c r="F56" s="252" t="n">
        <v>184</v>
      </c>
    </row>
    <row r="57" customFormat="false" ht="14.25" hidden="false" customHeight="false" outlineLevel="0" collapsed="false">
      <c r="A57" s="247"/>
      <c r="B57" s="248"/>
      <c r="C57" s="249"/>
      <c r="D57" s="250" t="n">
        <v>187</v>
      </c>
      <c r="E57" s="251" t="n">
        <v>187</v>
      </c>
      <c r="F57" s="252" t="n">
        <v>187</v>
      </c>
    </row>
    <row r="58" customFormat="false" ht="14.25" hidden="false" customHeight="false" outlineLevel="0" collapsed="false">
      <c r="A58" s="247"/>
      <c r="B58" s="248"/>
      <c r="C58" s="249"/>
      <c r="D58" s="250"/>
      <c r="E58" s="251"/>
      <c r="F58" s="252" t="n">
        <v>189</v>
      </c>
    </row>
    <row r="59" customFormat="false" ht="14.25" hidden="false" customHeight="false" outlineLevel="0" collapsed="false">
      <c r="A59" s="247"/>
      <c r="B59" s="248"/>
      <c r="C59" s="249"/>
      <c r="D59" s="250"/>
      <c r="E59" s="251" t="n">
        <v>191</v>
      </c>
      <c r="F59" s="252" t="n">
        <v>191</v>
      </c>
    </row>
    <row r="60" customFormat="false" ht="14.25" hidden="false" customHeight="false" outlineLevel="0" collapsed="false">
      <c r="A60" s="247"/>
      <c r="B60" s="248"/>
      <c r="C60" s="249"/>
      <c r="D60" s="250"/>
      <c r="E60" s="251"/>
      <c r="F60" s="252" t="n">
        <v>193</v>
      </c>
    </row>
    <row r="61" customFormat="false" ht="14.25" hidden="false" customHeight="false" outlineLevel="0" collapsed="false">
      <c r="A61" s="247"/>
      <c r="B61" s="248"/>
      <c r="C61" s="249" t="n">
        <v>200</v>
      </c>
      <c r="D61" s="250" t="n">
        <v>196</v>
      </c>
      <c r="E61" s="251" t="n">
        <v>196</v>
      </c>
      <c r="F61" s="252" t="n">
        <v>196</v>
      </c>
    </row>
    <row r="62" customFormat="false" ht="14.25" hidden="false" customHeight="false" outlineLevel="0" collapsed="false">
      <c r="A62" s="247"/>
      <c r="B62" s="248"/>
      <c r="C62" s="249"/>
      <c r="D62" s="250"/>
      <c r="E62" s="251"/>
      <c r="F62" s="252" t="n">
        <v>198</v>
      </c>
    </row>
    <row r="63" customFormat="false" ht="14.25" hidden="false" customHeight="false" outlineLevel="0" collapsed="false">
      <c r="A63" s="247"/>
      <c r="B63" s="248"/>
      <c r="C63" s="249"/>
      <c r="D63" s="250"/>
      <c r="E63" s="251" t="n">
        <v>200</v>
      </c>
      <c r="F63" s="252" t="n">
        <v>200</v>
      </c>
    </row>
    <row r="64" customFormat="false" ht="14.25" hidden="false" customHeight="false" outlineLevel="0" collapsed="false">
      <c r="A64" s="247"/>
      <c r="B64" s="248"/>
      <c r="C64" s="249"/>
      <c r="D64" s="250"/>
      <c r="E64" s="251"/>
      <c r="F64" s="252" t="n">
        <v>203</v>
      </c>
    </row>
    <row r="65" customFormat="false" ht="14.25" hidden="false" customHeight="false" outlineLevel="0" collapsed="false">
      <c r="A65" s="247"/>
      <c r="B65" s="248"/>
      <c r="C65" s="249"/>
      <c r="D65" s="250" t="n">
        <v>205</v>
      </c>
      <c r="E65" s="251" t="n">
        <v>205</v>
      </c>
      <c r="F65" s="252" t="n">
        <v>205</v>
      </c>
    </row>
    <row r="66" customFormat="false" ht="14.25" hidden="false" customHeight="false" outlineLevel="0" collapsed="false">
      <c r="A66" s="247"/>
      <c r="B66" s="248"/>
      <c r="C66" s="249"/>
      <c r="D66" s="250"/>
      <c r="E66" s="251"/>
      <c r="F66" s="252" t="n">
        <v>208</v>
      </c>
    </row>
    <row r="67" customFormat="false" ht="14.25" hidden="false" customHeight="false" outlineLevel="0" collapsed="false">
      <c r="A67" s="247"/>
      <c r="B67" s="248"/>
      <c r="C67" s="249"/>
      <c r="D67" s="250"/>
      <c r="E67" s="251" t="n">
        <v>210</v>
      </c>
      <c r="F67" s="252" t="n">
        <v>210</v>
      </c>
    </row>
    <row r="68" customFormat="false" ht="14.25" hidden="false" customHeight="false" outlineLevel="0" collapsed="false">
      <c r="A68" s="247"/>
      <c r="B68" s="248"/>
      <c r="C68" s="249"/>
      <c r="D68" s="250"/>
      <c r="E68" s="251"/>
      <c r="F68" s="252" t="n">
        <v>213</v>
      </c>
    </row>
    <row r="69" customFormat="false" ht="14.25" hidden="false" customHeight="false" outlineLevel="0" collapsed="false">
      <c r="A69" s="247" t="n">
        <v>220</v>
      </c>
      <c r="B69" s="248" t="n">
        <v>220</v>
      </c>
      <c r="C69" s="249" t="n">
        <v>220</v>
      </c>
      <c r="D69" s="250" t="n">
        <v>215</v>
      </c>
      <c r="E69" s="251" t="n">
        <v>215</v>
      </c>
      <c r="F69" s="252" t="n">
        <v>215</v>
      </c>
    </row>
    <row r="70" customFormat="false" ht="14.25" hidden="false" customHeight="false" outlineLevel="0" collapsed="false">
      <c r="A70" s="247"/>
      <c r="B70" s="248"/>
      <c r="C70" s="249"/>
      <c r="D70" s="250"/>
      <c r="E70" s="251"/>
      <c r="F70" s="252" t="n">
        <v>218</v>
      </c>
    </row>
    <row r="71" customFormat="false" ht="14.25" hidden="false" customHeight="false" outlineLevel="0" collapsed="false">
      <c r="A71" s="247"/>
      <c r="B71" s="248"/>
      <c r="C71" s="249"/>
      <c r="D71" s="250"/>
      <c r="E71" s="251" t="n">
        <v>221</v>
      </c>
      <c r="F71" s="252" t="n">
        <v>221</v>
      </c>
    </row>
    <row r="72" customFormat="false" ht="14.25" hidden="false" customHeight="false" outlineLevel="0" collapsed="false">
      <c r="A72" s="247"/>
      <c r="B72" s="248"/>
      <c r="C72" s="249"/>
      <c r="D72" s="250"/>
      <c r="E72" s="251"/>
      <c r="F72" s="252" t="n">
        <v>223</v>
      </c>
    </row>
    <row r="73" customFormat="false" ht="14.25" hidden="false" customHeight="false" outlineLevel="0" collapsed="false">
      <c r="A73" s="247"/>
      <c r="B73" s="248"/>
      <c r="C73" s="249"/>
      <c r="D73" s="250" t="n">
        <v>226</v>
      </c>
      <c r="E73" s="251" t="n">
        <v>226</v>
      </c>
      <c r="F73" s="252" t="n">
        <v>226</v>
      </c>
    </row>
    <row r="74" customFormat="false" ht="14.25" hidden="false" customHeight="false" outlineLevel="0" collapsed="false">
      <c r="A74" s="247"/>
      <c r="B74" s="248"/>
      <c r="C74" s="249"/>
      <c r="D74" s="250"/>
      <c r="E74" s="251"/>
      <c r="F74" s="252" t="n">
        <v>229</v>
      </c>
    </row>
    <row r="75" customFormat="false" ht="14.25" hidden="false" customHeight="false" outlineLevel="0" collapsed="false">
      <c r="A75" s="247"/>
      <c r="B75" s="248"/>
      <c r="C75" s="249"/>
      <c r="D75" s="250"/>
      <c r="E75" s="251" t="n">
        <v>232</v>
      </c>
      <c r="F75" s="252" t="n">
        <v>232</v>
      </c>
    </row>
    <row r="76" customFormat="false" ht="14.25" hidden="false" customHeight="false" outlineLevel="0" collapsed="false">
      <c r="A76" s="247"/>
      <c r="B76" s="248"/>
      <c r="C76" s="249"/>
      <c r="D76" s="250"/>
      <c r="E76" s="251"/>
      <c r="F76" s="252" t="n">
        <v>234</v>
      </c>
    </row>
    <row r="77" customFormat="false" ht="14.25" hidden="false" customHeight="false" outlineLevel="0" collapsed="false">
      <c r="A77" s="247"/>
      <c r="B77" s="248"/>
      <c r="C77" s="249" t="n">
        <v>240</v>
      </c>
      <c r="D77" s="250" t="n">
        <v>237</v>
      </c>
      <c r="E77" s="251" t="n">
        <v>237</v>
      </c>
      <c r="F77" s="252" t="n">
        <v>237</v>
      </c>
    </row>
    <row r="78" customFormat="false" ht="14.25" hidden="false" customHeight="false" outlineLevel="0" collapsed="false">
      <c r="A78" s="247"/>
      <c r="B78" s="248"/>
      <c r="C78" s="249"/>
      <c r="D78" s="250"/>
      <c r="E78" s="251"/>
      <c r="F78" s="252" t="n">
        <v>240</v>
      </c>
    </row>
    <row r="79" customFormat="false" ht="14.25" hidden="false" customHeight="false" outlineLevel="0" collapsed="false">
      <c r="A79" s="247"/>
      <c r="B79" s="248"/>
      <c r="C79" s="249"/>
      <c r="D79" s="250"/>
      <c r="E79" s="251" t="n">
        <v>243</v>
      </c>
      <c r="F79" s="252" t="n">
        <v>243</v>
      </c>
    </row>
    <row r="80" customFormat="false" ht="14.25" hidden="false" customHeight="false" outlineLevel="0" collapsed="false">
      <c r="A80" s="247"/>
      <c r="B80" s="248"/>
      <c r="C80" s="249"/>
      <c r="D80" s="250"/>
      <c r="E80" s="251"/>
      <c r="F80" s="252" t="n">
        <v>246</v>
      </c>
    </row>
    <row r="81" customFormat="false" ht="14.25" hidden="false" customHeight="false" outlineLevel="0" collapsed="false">
      <c r="A81" s="247"/>
      <c r="B81" s="248"/>
      <c r="C81" s="249"/>
      <c r="D81" s="250" t="n">
        <v>249</v>
      </c>
      <c r="E81" s="251" t="n">
        <v>249</v>
      </c>
      <c r="F81" s="252" t="n">
        <v>249</v>
      </c>
    </row>
    <row r="82" customFormat="false" ht="14.25" hidden="false" customHeight="false" outlineLevel="0" collapsed="false">
      <c r="A82" s="247"/>
      <c r="B82" s="248"/>
      <c r="C82" s="249"/>
      <c r="D82" s="250"/>
      <c r="E82" s="251"/>
      <c r="F82" s="252" t="n">
        <v>252</v>
      </c>
    </row>
    <row r="83" customFormat="false" ht="14.25" hidden="false" customHeight="false" outlineLevel="0" collapsed="false">
      <c r="A83" s="247"/>
      <c r="B83" s="248"/>
      <c r="C83" s="249"/>
      <c r="D83" s="250"/>
      <c r="E83" s="251" t="n">
        <v>255</v>
      </c>
      <c r="F83" s="252" t="n">
        <v>255</v>
      </c>
    </row>
    <row r="84" customFormat="false" ht="14.25" hidden="false" customHeight="false" outlineLevel="0" collapsed="false">
      <c r="A84" s="247"/>
      <c r="B84" s="248"/>
      <c r="C84" s="249"/>
      <c r="D84" s="250"/>
      <c r="E84" s="251"/>
      <c r="F84" s="252" t="n">
        <v>258</v>
      </c>
    </row>
    <row r="85" customFormat="false" ht="14.25" hidden="false" customHeight="false" outlineLevel="0" collapsed="false">
      <c r="A85" s="247"/>
      <c r="B85" s="248" t="n">
        <v>270</v>
      </c>
      <c r="C85" s="249" t="n">
        <v>270</v>
      </c>
      <c r="D85" s="250" t="n">
        <v>261</v>
      </c>
      <c r="E85" s="251" t="n">
        <v>261</v>
      </c>
      <c r="F85" s="252" t="n">
        <v>261</v>
      </c>
    </row>
    <row r="86" customFormat="false" ht="14.25" hidden="false" customHeight="false" outlineLevel="0" collapsed="false">
      <c r="A86" s="247"/>
      <c r="B86" s="248"/>
      <c r="C86" s="249"/>
      <c r="D86" s="250"/>
      <c r="E86" s="251"/>
      <c r="F86" s="252" t="n">
        <v>264</v>
      </c>
    </row>
    <row r="87" customFormat="false" ht="14.25" hidden="false" customHeight="false" outlineLevel="0" collapsed="false">
      <c r="A87" s="247"/>
      <c r="B87" s="248"/>
      <c r="C87" s="249"/>
      <c r="D87" s="250"/>
      <c r="E87" s="251" t="n">
        <v>267</v>
      </c>
      <c r="F87" s="252" t="n">
        <v>267</v>
      </c>
    </row>
    <row r="88" customFormat="false" ht="14.25" hidden="false" customHeight="false" outlineLevel="0" collapsed="false">
      <c r="A88" s="247"/>
      <c r="B88" s="248"/>
      <c r="C88" s="249"/>
      <c r="D88" s="250"/>
      <c r="E88" s="251"/>
      <c r="F88" s="252" t="n">
        <v>271</v>
      </c>
    </row>
    <row r="89" customFormat="false" ht="14.25" hidden="false" customHeight="false" outlineLevel="0" collapsed="false">
      <c r="A89" s="247"/>
      <c r="B89" s="248"/>
      <c r="C89" s="249"/>
      <c r="D89" s="250" t="n">
        <v>274</v>
      </c>
      <c r="E89" s="251" t="n">
        <v>274</v>
      </c>
      <c r="F89" s="252" t="n">
        <v>274</v>
      </c>
    </row>
    <row r="90" customFormat="false" ht="14.25" hidden="false" customHeight="false" outlineLevel="0" collapsed="false">
      <c r="A90" s="247"/>
      <c r="B90" s="248"/>
      <c r="C90" s="249"/>
      <c r="D90" s="250"/>
      <c r="E90" s="251"/>
      <c r="F90" s="252" t="n">
        <v>277</v>
      </c>
    </row>
    <row r="91" customFormat="false" ht="14.25" hidden="false" customHeight="false" outlineLevel="0" collapsed="false">
      <c r="A91" s="247"/>
      <c r="B91" s="248"/>
      <c r="C91" s="249"/>
      <c r="D91" s="250"/>
      <c r="E91" s="251" t="n">
        <v>280</v>
      </c>
      <c r="F91" s="252" t="n">
        <v>280</v>
      </c>
    </row>
    <row r="92" customFormat="false" ht="14.25" hidden="false" customHeight="false" outlineLevel="0" collapsed="false">
      <c r="A92" s="247"/>
      <c r="B92" s="248"/>
      <c r="C92" s="249"/>
      <c r="D92" s="250"/>
      <c r="E92" s="251"/>
      <c r="F92" s="252" t="n">
        <v>284</v>
      </c>
    </row>
    <row r="93" customFormat="false" ht="14.25" hidden="false" customHeight="false" outlineLevel="0" collapsed="false">
      <c r="A93" s="247"/>
      <c r="B93" s="248"/>
      <c r="C93" s="249" t="n">
        <v>300</v>
      </c>
      <c r="D93" s="250" t="n">
        <v>287</v>
      </c>
      <c r="E93" s="251" t="n">
        <v>287</v>
      </c>
      <c r="F93" s="252" t="n">
        <v>287</v>
      </c>
    </row>
    <row r="94" customFormat="false" ht="14.25" hidden="false" customHeight="false" outlineLevel="0" collapsed="false">
      <c r="A94" s="247"/>
      <c r="B94" s="248"/>
      <c r="C94" s="249"/>
      <c r="D94" s="250"/>
      <c r="E94" s="251"/>
      <c r="F94" s="252" t="n">
        <v>291</v>
      </c>
    </row>
    <row r="95" customFormat="false" ht="14.25" hidden="false" customHeight="false" outlineLevel="0" collapsed="false">
      <c r="A95" s="247"/>
      <c r="B95" s="248"/>
      <c r="C95" s="249"/>
      <c r="D95" s="250"/>
      <c r="E95" s="251" t="n">
        <v>294</v>
      </c>
      <c r="F95" s="252" t="n">
        <v>294</v>
      </c>
    </row>
    <row r="96" customFormat="false" ht="14.25" hidden="false" customHeight="false" outlineLevel="0" collapsed="false">
      <c r="A96" s="247"/>
      <c r="B96" s="248"/>
      <c r="C96" s="249"/>
      <c r="D96" s="250"/>
      <c r="E96" s="251"/>
      <c r="F96" s="252" t="n">
        <v>298</v>
      </c>
    </row>
    <row r="97" customFormat="false" ht="14.25" hidden="false" customHeight="false" outlineLevel="0" collapsed="false">
      <c r="A97" s="247"/>
      <c r="B97" s="248"/>
      <c r="C97" s="249"/>
      <c r="D97" s="250" t="n">
        <v>301</v>
      </c>
      <c r="E97" s="251" t="n">
        <v>301</v>
      </c>
      <c r="F97" s="252" t="n">
        <v>301</v>
      </c>
    </row>
    <row r="98" customFormat="false" ht="14.25" hidden="false" customHeight="false" outlineLevel="0" collapsed="false">
      <c r="A98" s="247"/>
      <c r="B98" s="248"/>
      <c r="C98" s="249"/>
      <c r="D98" s="250"/>
      <c r="E98" s="251"/>
      <c r="F98" s="252" t="n">
        <v>305</v>
      </c>
    </row>
    <row r="99" customFormat="false" ht="14.25" hidden="false" customHeight="false" outlineLevel="0" collapsed="false">
      <c r="A99" s="247"/>
      <c r="B99" s="248"/>
      <c r="C99" s="249"/>
      <c r="D99" s="250"/>
      <c r="E99" s="251" t="n">
        <v>309</v>
      </c>
      <c r="F99" s="252" t="n">
        <v>309</v>
      </c>
    </row>
    <row r="100" customFormat="false" ht="14.25" hidden="false" customHeight="false" outlineLevel="0" collapsed="false">
      <c r="A100" s="247"/>
      <c r="B100" s="248"/>
      <c r="C100" s="249"/>
      <c r="D100" s="250"/>
      <c r="E100" s="251"/>
      <c r="F100" s="252" t="n">
        <v>312</v>
      </c>
    </row>
    <row r="101" customFormat="false" ht="14.25" hidden="false" customHeight="false" outlineLevel="0" collapsed="false">
      <c r="A101" s="247" t="n">
        <v>330</v>
      </c>
      <c r="B101" s="248" t="n">
        <v>330</v>
      </c>
      <c r="C101" s="249" t="n">
        <v>330</v>
      </c>
      <c r="D101" s="250" t="n">
        <v>316</v>
      </c>
      <c r="E101" s="251" t="n">
        <v>316</v>
      </c>
      <c r="F101" s="252" t="n">
        <v>316</v>
      </c>
    </row>
    <row r="102" customFormat="false" ht="14.25" hidden="false" customHeight="false" outlineLevel="0" collapsed="false">
      <c r="A102" s="247"/>
      <c r="B102" s="248"/>
      <c r="C102" s="249"/>
      <c r="D102" s="250"/>
      <c r="E102" s="251"/>
      <c r="F102" s="252" t="n">
        <v>320</v>
      </c>
    </row>
    <row r="103" customFormat="false" ht="14.25" hidden="false" customHeight="false" outlineLevel="0" collapsed="false">
      <c r="A103" s="247"/>
      <c r="B103" s="248"/>
      <c r="C103" s="249"/>
      <c r="D103" s="250"/>
      <c r="E103" s="251" t="n">
        <v>324</v>
      </c>
      <c r="F103" s="252" t="n">
        <v>324</v>
      </c>
    </row>
    <row r="104" customFormat="false" ht="14.25" hidden="false" customHeight="false" outlineLevel="0" collapsed="false">
      <c r="A104" s="247"/>
      <c r="B104" s="248"/>
      <c r="C104" s="249"/>
      <c r="D104" s="250"/>
      <c r="E104" s="251"/>
      <c r="F104" s="252" t="n">
        <v>328</v>
      </c>
    </row>
    <row r="105" customFormat="false" ht="14.25" hidden="false" customHeight="false" outlineLevel="0" collapsed="false">
      <c r="A105" s="247"/>
      <c r="B105" s="248"/>
      <c r="C105" s="249"/>
      <c r="D105" s="250" t="n">
        <v>332</v>
      </c>
      <c r="E105" s="251" t="n">
        <v>332</v>
      </c>
      <c r="F105" s="252" t="n">
        <v>332</v>
      </c>
    </row>
    <row r="106" customFormat="false" ht="14.25" hidden="false" customHeight="false" outlineLevel="0" collapsed="false">
      <c r="A106" s="247"/>
      <c r="B106" s="248"/>
      <c r="C106" s="249"/>
      <c r="D106" s="250"/>
      <c r="E106" s="251"/>
      <c r="F106" s="252" t="n">
        <v>336</v>
      </c>
    </row>
    <row r="107" customFormat="false" ht="14.25" hidden="false" customHeight="false" outlineLevel="0" collapsed="false">
      <c r="A107" s="247"/>
      <c r="B107" s="248"/>
      <c r="C107" s="249"/>
      <c r="D107" s="250"/>
      <c r="E107" s="251" t="n">
        <v>340</v>
      </c>
      <c r="F107" s="252" t="n">
        <v>340</v>
      </c>
    </row>
    <row r="108" customFormat="false" ht="14.25" hidden="false" customHeight="false" outlineLevel="0" collapsed="false">
      <c r="A108" s="247"/>
      <c r="B108" s="248"/>
      <c r="C108" s="249"/>
      <c r="D108" s="250"/>
      <c r="E108" s="251"/>
      <c r="F108" s="252" t="n">
        <v>344</v>
      </c>
    </row>
    <row r="109" customFormat="false" ht="14.25" hidden="false" customHeight="false" outlineLevel="0" collapsed="false">
      <c r="A109" s="247"/>
      <c r="B109" s="248"/>
      <c r="C109" s="249" t="n">
        <v>360</v>
      </c>
      <c r="D109" s="250" t="n">
        <v>348</v>
      </c>
      <c r="E109" s="251" t="n">
        <v>348</v>
      </c>
      <c r="F109" s="252" t="n">
        <v>348</v>
      </c>
    </row>
    <row r="110" customFormat="false" ht="14.25" hidden="false" customHeight="false" outlineLevel="0" collapsed="false">
      <c r="A110" s="247"/>
      <c r="B110" s="248"/>
      <c r="C110" s="249"/>
      <c r="D110" s="250"/>
      <c r="E110" s="251"/>
      <c r="F110" s="252" t="n">
        <v>352</v>
      </c>
    </row>
    <row r="111" customFormat="false" ht="14.25" hidden="false" customHeight="false" outlineLevel="0" collapsed="false">
      <c r="A111" s="247"/>
      <c r="B111" s="248"/>
      <c r="C111" s="249"/>
      <c r="D111" s="250"/>
      <c r="E111" s="251" t="n">
        <v>357</v>
      </c>
      <c r="F111" s="252" t="n">
        <v>357</v>
      </c>
    </row>
    <row r="112" customFormat="false" ht="14.25" hidden="false" customHeight="false" outlineLevel="0" collapsed="false">
      <c r="A112" s="247"/>
      <c r="B112" s="248"/>
      <c r="C112" s="249"/>
      <c r="D112" s="250"/>
      <c r="E112" s="251"/>
      <c r="F112" s="252" t="n">
        <v>361</v>
      </c>
    </row>
    <row r="113" customFormat="false" ht="14.25" hidden="false" customHeight="false" outlineLevel="0" collapsed="false">
      <c r="A113" s="247"/>
      <c r="B113" s="248"/>
      <c r="C113" s="249"/>
      <c r="D113" s="250" t="n">
        <v>365</v>
      </c>
      <c r="E113" s="251" t="n">
        <v>365</v>
      </c>
      <c r="F113" s="252" t="n">
        <v>365</v>
      </c>
    </row>
    <row r="114" customFormat="false" ht="14.25" hidden="false" customHeight="false" outlineLevel="0" collapsed="false">
      <c r="A114" s="247"/>
      <c r="B114" s="248"/>
      <c r="C114" s="249"/>
      <c r="D114" s="250"/>
      <c r="E114" s="251"/>
      <c r="F114" s="252" t="n">
        <v>370</v>
      </c>
    </row>
    <row r="115" customFormat="false" ht="14.25" hidden="false" customHeight="false" outlineLevel="0" collapsed="false">
      <c r="A115" s="247"/>
      <c r="B115" s="248"/>
      <c r="C115" s="249"/>
      <c r="D115" s="250"/>
      <c r="E115" s="251" t="n">
        <v>374</v>
      </c>
      <c r="F115" s="252" t="n">
        <v>374</v>
      </c>
    </row>
    <row r="116" customFormat="false" ht="14.25" hidden="false" customHeight="false" outlineLevel="0" collapsed="false">
      <c r="A116" s="247"/>
      <c r="B116" s="248"/>
      <c r="C116" s="249"/>
      <c r="D116" s="250"/>
      <c r="E116" s="251"/>
      <c r="F116" s="252" t="n">
        <v>379</v>
      </c>
    </row>
    <row r="117" customFormat="false" ht="14.25" hidden="false" customHeight="false" outlineLevel="0" collapsed="false">
      <c r="A117" s="247"/>
      <c r="B117" s="248" t="n">
        <v>390</v>
      </c>
      <c r="C117" s="249" t="n">
        <v>390</v>
      </c>
      <c r="D117" s="250" t="n">
        <v>383</v>
      </c>
      <c r="E117" s="251" t="n">
        <v>383</v>
      </c>
      <c r="F117" s="252" t="n">
        <v>383</v>
      </c>
    </row>
    <row r="118" customFormat="false" ht="14.25" hidden="false" customHeight="false" outlineLevel="0" collapsed="false">
      <c r="A118" s="247"/>
      <c r="B118" s="248"/>
      <c r="C118" s="249"/>
      <c r="D118" s="250"/>
      <c r="E118" s="251"/>
      <c r="F118" s="252" t="n">
        <v>388</v>
      </c>
    </row>
    <row r="119" customFormat="false" ht="14.25" hidden="false" customHeight="false" outlineLevel="0" collapsed="false">
      <c r="A119" s="247"/>
      <c r="B119" s="248"/>
      <c r="C119" s="249"/>
      <c r="D119" s="250"/>
      <c r="E119" s="251" t="n">
        <v>392</v>
      </c>
      <c r="F119" s="252" t="n">
        <v>392</v>
      </c>
    </row>
    <row r="120" customFormat="false" ht="14.25" hidden="false" customHeight="false" outlineLevel="0" collapsed="false">
      <c r="A120" s="247"/>
      <c r="B120" s="248"/>
      <c r="C120" s="249"/>
      <c r="D120" s="250"/>
      <c r="E120" s="251"/>
      <c r="F120" s="252" t="n">
        <v>397</v>
      </c>
    </row>
    <row r="121" customFormat="false" ht="14.25" hidden="false" customHeight="false" outlineLevel="0" collapsed="false">
      <c r="A121" s="247"/>
      <c r="B121" s="248"/>
      <c r="C121" s="249"/>
      <c r="D121" s="250" t="n">
        <v>402</v>
      </c>
      <c r="E121" s="251" t="n">
        <v>402</v>
      </c>
      <c r="F121" s="252" t="n">
        <v>402</v>
      </c>
    </row>
    <row r="122" customFormat="false" ht="14.25" hidden="false" customHeight="false" outlineLevel="0" collapsed="false">
      <c r="A122" s="247"/>
      <c r="B122" s="248"/>
      <c r="C122" s="249"/>
      <c r="D122" s="250"/>
      <c r="E122" s="251"/>
      <c r="F122" s="252" t="n">
        <v>407</v>
      </c>
    </row>
    <row r="123" customFormat="false" ht="14.25" hidden="false" customHeight="false" outlineLevel="0" collapsed="false">
      <c r="A123" s="247"/>
      <c r="B123" s="248"/>
      <c r="C123" s="249"/>
      <c r="D123" s="250"/>
      <c r="E123" s="251" t="n">
        <v>412</v>
      </c>
      <c r="F123" s="252" t="n">
        <v>412</v>
      </c>
    </row>
    <row r="124" customFormat="false" ht="14.25" hidden="false" customHeight="false" outlineLevel="0" collapsed="false">
      <c r="A124" s="247"/>
      <c r="B124" s="248"/>
      <c r="C124" s="249"/>
      <c r="D124" s="250"/>
      <c r="E124" s="251"/>
      <c r="F124" s="252" t="n">
        <v>417</v>
      </c>
    </row>
    <row r="125" customFormat="false" ht="14.25" hidden="false" customHeight="false" outlineLevel="0" collapsed="false">
      <c r="A125" s="247"/>
      <c r="B125" s="248"/>
      <c r="C125" s="249" t="n">
        <v>430</v>
      </c>
      <c r="D125" s="250" t="n">
        <v>422</v>
      </c>
      <c r="E125" s="251" t="n">
        <v>422</v>
      </c>
      <c r="F125" s="252" t="n">
        <v>422</v>
      </c>
    </row>
    <row r="126" customFormat="false" ht="14.25" hidden="false" customHeight="false" outlineLevel="0" collapsed="false">
      <c r="A126" s="247"/>
      <c r="B126" s="248"/>
      <c r="C126" s="249"/>
      <c r="D126" s="250"/>
      <c r="E126" s="251"/>
      <c r="F126" s="252" t="n">
        <v>427</v>
      </c>
    </row>
    <row r="127" customFormat="false" ht="14.25" hidden="false" customHeight="false" outlineLevel="0" collapsed="false">
      <c r="A127" s="247"/>
      <c r="B127" s="248"/>
      <c r="C127" s="249"/>
      <c r="D127" s="250"/>
      <c r="E127" s="251" t="n">
        <v>432</v>
      </c>
      <c r="F127" s="252" t="n">
        <v>432</v>
      </c>
    </row>
    <row r="128" customFormat="false" ht="14.25" hidden="false" customHeight="false" outlineLevel="0" collapsed="false">
      <c r="A128" s="247"/>
      <c r="B128" s="248"/>
      <c r="C128" s="249"/>
      <c r="D128" s="250"/>
      <c r="E128" s="251"/>
      <c r="F128" s="252" t="n">
        <v>437</v>
      </c>
    </row>
    <row r="129" customFormat="false" ht="14.25" hidden="false" customHeight="false" outlineLevel="0" collapsed="false">
      <c r="A129" s="247"/>
      <c r="B129" s="248"/>
      <c r="C129" s="249"/>
      <c r="D129" s="250" t="n">
        <v>442</v>
      </c>
      <c r="E129" s="251" t="n">
        <v>442</v>
      </c>
      <c r="F129" s="252" t="n">
        <v>442</v>
      </c>
    </row>
    <row r="130" customFormat="false" ht="14.25" hidden="false" customHeight="false" outlineLevel="0" collapsed="false">
      <c r="A130" s="247"/>
      <c r="B130" s="248"/>
      <c r="C130" s="249"/>
      <c r="D130" s="250"/>
      <c r="E130" s="251"/>
      <c r="F130" s="252" t="n">
        <v>448</v>
      </c>
    </row>
    <row r="131" customFormat="false" ht="14.25" hidden="false" customHeight="false" outlineLevel="0" collapsed="false">
      <c r="A131" s="247"/>
      <c r="B131" s="248"/>
      <c r="C131" s="249"/>
      <c r="D131" s="250"/>
      <c r="E131" s="251" t="n">
        <v>453</v>
      </c>
      <c r="F131" s="252" t="n">
        <v>453</v>
      </c>
    </row>
    <row r="132" customFormat="false" ht="14.25" hidden="false" customHeight="false" outlineLevel="0" collapsed="false">
      <c r="A132" s="247"/>
      <c r="B132" s="248"/>
      <c r="C132" s="249"/>
      <c r="D132" s="250"/>
      <c r="E132" s="251"/>
      <c r="F132" s="252" t="n">
        <v>459</v>
      </c>
    </row>
    <row r="133" customFormat="false" ht="14.25" hidden="false" customHeight="false" outlineLevel="0" collapsed="false">
      <c r="A133" s="247" t="n">
        <v>470</v>
      </c>
      <c r="B133" s="248" t="n">
        <v>470</v>
      </c>
      <c r="C133" s="249" t="n">
        <v>470</v>
      </c>
      <c r="D133" s="250" t="n">
        <v>464</v>
      </c>
      <c r="E133" s="251" t="n">
        <v>464</v>
      </c>
      <c r="F133" s="252" t="n">
        <v>464</v>
      </c>
    </row>
    <row r="134" customFormat="false" ht="14.25" hidden="false" customHeight="false" outlineLevel="0" collapsed="false">
      <c r="A134" s="247"/>
      <c r="B134" s="248"/>
      <c r="C134" s="249"/>
      <c r="D134" s="250"/>
      <c r="E134" s="251"/>
      <c r="F134" s="252" t="n">
        <v>470</v>
      </c>
    </row>
    <row r="135" customFormat="false" ht="14.25" hidden="false" customHeight="false" outlineLevel="0" collapsed="false">
      <c r="A135" s="247"/>
      <c r="B135" s="248"/>
      <c r="C135" s="249"/>
      <c r="D135" s="250"/>
      <c r="E135" s="251" t="n">
        <v>475</v>
      </c>
      <c r="F135" s="252" t="n">
        <v>475</v>
      </c>
    </row>
    <row r="136" customFormat="false" ht="14.25" hidden="false" customHeight="false" outlineLevel="0" collapsed="false">
      <c r="A136" s="247"/>
      <c r="B136" s="248"/>
      <c r="C136" s="249"/>
      <c r="D136" s="250"/>
      <c r="E136" s="251"/>
      <c r="F136" s="252" t="n">
        <v>481</v>
      </c>
    </row>
    <row r="137" customFormat="false" ht="14.25" hidden="false" customHeight="false" outlineLevel="0" collapsed="false">
      <c r="A137" s="247"/>
      <c r="B137" s="248"/>
      <c r="C137" s="249"/>
      <c r="D137" s="250" t="n">
        <v>487</v>
      </c>
      <c r="E137" s="251" t="n">
        <v>487</v>
      </c>
      <c r="F137" s="252" t="n">
        <v>487</v>
      </c>
    </row>
    <row r="138" customFormat="false" ht="14.25" hidden="false" customHeight="false" outlineLevel="0" collapsed="false">
      <c r="A138" s="247"/>
      <c r="B138" s="248"/>
      <c r="C138" s="249"/>
      <c r="D138" s="250"/>
      <c r="E138" s="251"/>
      <c r="F138" s="252" t="n">
        <v>493</v>
      </c>
    </row>
    <row r="139" customFormat="false" ht="14.25" hidden="false" customHeight="false" outlineLevel="0" collapsed="false">
      <c r="A139" s="247"/>
      <c r="B139" s="248"/>
      <c r="C139" s="249"/>
      <c r="D139" s="250"/>
      <c r="E139" s="251" t="n">
        <v>499</v>
      </c>
      <c r="F139" s="252" t="n">
        <v>499</v>
      </c>
    </row>
    <row r="140" customFormat="false" ht="14.25" hidden="false" customHeight="false" outlineLevel="0" collapsed="false">
      <c r="A140" s="247"/>
      <c r="B140" s="248"/>
      <c r="C140" s="249"/>
      <c r="D140" s="250"/>
      <c r="E140" s="251"/>
      <c r="F140" s="252" t="n">
        <v>505</v>
      </c>
    </row>
    <row r="141" customFormat="false" ht="14.25" hidden="false" customHeight="false" outlineLevel="0" collapsed="false">
      <c r="A141" s="247"/>
      <c r="B141" s="248"/>
      <c r="C141" s="249" t="n">
        <v>510</v>
      </c>
      <c r="D141" s="250" t="n">
        <v>511</v>
      </c>
      <c r="E141" s="251" t="n">
        <v>511</v>
      </c>
      <c r="F141" s="252" t="n">
        <v>511</v>
      </c>
    </row>
    <row r="142" customFormat="false" ht="14.25" hidden="false" customHeight="false" outlineLevel="0" collapsed="false">
      <c r="A142" s="247"/>
      <c r="B142" s="248"/>
      <c r="C142" s="249"/>
      <c r="D142" s="250"/>
      <c r="E142" s="251"/>
      <c r="F142" s="252" t="n">
        <v>517</v>
      </c>
    </row>
    <row r="143" customFormat="false" ht="14.25" hidden="false" customHeight="false" outlineLevel="0" collapsed="false">
      <c r="A143" s="247"/>
      <c r="B143" s="248"/>
      <c r="C143" s="249"/>
      <c r="D143" s="250"/>
      <c r="E143" s="251" t="n">
        <v>523</v>
      </c>
      <c r="F143" s="252" t="n">
        <v>523</v>
      </c>
    </row>
    <row r="144" customFormat="false" ht="14.25" hidden="false" customHeight="false" outlineLevel="0" collapsed="false">
      <c r="A144" s="247"/>
      <c r="B144" s="248"/>
      <c r="C144" s="249"/>
      <c r="D144" s="250"/>
      <c r="E144" s="251"/>
      <c r="F144" s="252" t="n">
        <v>530</v>
      </c>
    </row>
    <row r="145" customFormat="false" ht="14.25" hidden="false" customHeight="false" outlineLevel="0" collapsed="false">
      <c r="A145" s="247"/>
      <c r="B145" s="248"/>
      <c r="C145" s="249"/>
      <c r="D145" s="250" t="n">
        <v>536</v>
      </c>
      <c r="E145" s="251" t="n">
        <v>536</v>
      </c>
      <c r="F145" s="252" t="n">
        <v>536</v>
      </c>
    </row>
    <row r="146" customFormat="false" ht="14.25" hidden="false" customHeight="false" outlineLevel="0" collapsed="false">
      <c r="A146" s="247"/>
      <c r="B146" s="248"/>
      <c r="C146" s="249"/>
      <c r="D146" s="250"/>
      <c r="E146" s="251"/>
      <c r="F146" s="252" t="n">
        <v>542</v>
      </c>
    </row>
    <row r="147" customFormat="false" ht="14.25" hidden="false" customHeight="false" outlineLevel="0" collapsed="false">
      <c r="A147" s="247"/>
      <c r="B147" s="248"/>
      <c r="C147" s="249"/>
      <c r="D147" s="250"/>
      <c r="E147" s="251" t="n">
        <v>549</v>
      </c>
      <c r="F147" s="252" t="n">
        <v>549</v>
      </c>
    </row>
    <row r="148" customFormat="false" ht="14.25" hidden="false" customHeight="false" outlineLevel="0" collapsed="false">
      <c r="A148" s="247"/>
      <c r="B148" s="248"/>
      <c r="C148" s="249"/>
      <c r="D148" s="250"/>
      <c r="E148" s="251"/>
      <c r="F148" s="252" t="n">
        <v>556</v>
      </c>
    </row>
    <row r="149" customFormat="false" ht="14.25" hidden="false" customHeight="false" outlineLevel="0" collapsed="false">
      <c r="A149" s="247"/>
      <c r="B149" s="248" t="n">
        <v>560</v>
      </c>
      <c r="C149" s="249" t="n">
        <v>560</v>
      </c>
      <c r="D149" s="250" t="n">
        <v>562</v>
      </c>
      <c r="E149" s="251" t="n">
        <v>562</v>
      </c>
      <c r="F149" s="252" t="n">
        <v>562</v>
      </c>
    </row>
    <row r="150" customFormat="false" ht="14.25" hidden="false" customHeight="false" outlineLevel="0" collapsed="false">
      <c r="A150" s="247"/>
      <c r="B150" s="248"/>
      <c r="C150" s="249"/>
      <c r="D150" s="250"/>
      <c r="E150" s="251"/>
      <c r="F150" s="252" t="n">
        <v>569</v>
      </c>
    </row>
    <row r="151" customFormat="false" ht="14.25" hidden="false" customHeight="false" outlineLevel="0" collapsed="false">
      <c r="A151" s="247"/>
      <c r="B151" s="248"/>
      <c r="C151" s="249"/>
      <c r="D151" s="250"/>
      <c r="E151" s="251" t="n">
        <v>576</v>
      </c>
      <c r="F151" s="252" t="n">
        <v>576</v>
      </c>
    </row>
    <row r="152" customFormat="false" ht="14.25" hidden="false" customHeight="false" outlineLevel="0" collapsed="false">
      <c r="A152" s="247"/>
      <c r="B152" s="248"/>
      <c r="C152" s="249"/>
      <c r="D152" s="250"/>
      <c r="E152" s="251"/>
      <c r="F152" s="252" t="n">
        <v>583</v>
      </c>
    </row>
    <row r="153" customFormat="false" ht="14.25" hidden="false" customHeight="false" outlineLevel="0" collapsed="false">
      <c r="A153" s="247"/>
      <c r="B153" s="248"/>
      <c r="C153" s="249"/>
      <c r="D153" s="250" t="n">
        <v>590</v>
      </c>
      <c r="E153" s="251" t="n">
        <v>590</v>
      </c>
      <c r="F153" s="252" t="n">
        <v>590</v>
      </c>
    </row>
    <row r="154" customFormat="false" ht="14.25" hidden="false" customHeight="false" outlineLevel="0" collapsed="false">
      <c r="A154" s="247"/>
      <c r="B154" s="248"/>
      <c r="C154" s="249"/>
      <c r="D154" s="250"/>
      <c r="E154" s="251"/>
      <c r="F154" s="252" t="n">
        <v>597</v>
      </c>
    </row>
    <row r="155" customFormat="false" ht="14.25" hidden="false" customHeight="false" outlineLevel="0" collapsed="false">
      <c r="A155" s="247"/>
      <c r="B155" s="248"/>
      <c r="C155" s="249"/>
      <c r="D155" s="250"/>
      <c r="E155" s="251" t="n">
        <v>604</v>
      </c>
      <c r="F155" s="252" t="n">
        <v>604</v>
      </c>
    </row>
    <row r="156" customFormat="false" ht="14.25" hidden="false" customHeight="false" outlineLevel="0" collapsed="false">
      <c r="A156" s="247"/>
      <c r="B156" s="248"/>
      <c r="C156" s="249"/>
      <c r="D156" s="250"/>
      <c r="E156" s="251"/>
      <c r="F156" s="252" t="n">
        <v>612</v>
      </c>
    </row>
    <row r="157" customFormat="false" ht="14.25" hidden="false" customHeight="false" outlineLevel="0" collapsed="false">
      <c r="A157" s="247"/>
      <c r="B157" s="248"/>
      <c r="C157" s="249" t="n">
        <v>620</v>
      </c>
      <c r="D157" s="250" t="n">
        <v>619</v>
      </c>
      <c r="E157" s="251" t="n">
        <v>619</v>
      </c>
      <c r="F157" s="252" t="n">
        <v>619</v>
      </c>
    </row>
    <row r="158" customFormat="false" ht="14.25" hidden="false" customHeight="false" outlineLevel="0" collapsed="false">
      <c r="A158" s="247"/>
      <c r="B158" s="248"/>
      <c r="C158" s="249"/>
      <c r="D158" s="250"/>
      <c r="E158" s="251"/>
      <c r="F158" s="252" t="n">
        <v>626</v>
      </c>
    </row>
    <row r="159" customFormat="false" ht="14.25" hidden="false" customHeight="false" outlineLevel="0" collapsed="false">
      <c r="A159" s="247"/>
      <c r="B159" s="248"/>
      <c r="C159" s="249"/>
      <c r="D159" s="250"/>
      <c r="E159" s="251" t="n">
        <v>634</v>
      </c>
      <c r="F159" s="252" t="n">
        <v>634</v>
      </c>
    </row>
    <row r="160" customFormat="false" ht="14.25" hidden="false" customHeight="false" outlineLevel="0" collapsed="false">
      <c r="A160" s="247"/>
      <c r="B160" s="248"/>
      <c r="C160" s="249"/>
      <c r="D160" s="250"/>
      <c r="E160" s="251"/>
      <c r="F160" s="252" t="n">
        <v>642</v>
      </c>
    </row>
    <row r="161" customFormat="false" ht="14.25" hidden="false" customHeight="false" outlineLevel="0" collapsed="false">
      <c r="A161" s="247"/>
      <c r="B161" s="248"/>
      <c r="C161" s="249"/>
      <c r="D161" s="250" t="n">
        <v>649</v>
      </c>
      <c r="E161" s="251" t="n">
        <v>649</v>
      </c>
      <c r="F161" s="252" t="n">
        <v>649</v>
      </c>
    </row>
    <row r="162" customFormat="false" ht="14.25" hidden="false" customHeight="false" outlineLevel="0" collapsed="false">
      <c r="A162" s="247"/>
      <c r="B162" s="248"/>
      <c r="C162" s="249"/>
      <c r="D162" s="250"/>
      <c r="E162" s="251"/>
      <c r="F162" s="252" t="n">
        <v>657</v>
      </c>
    </row>
    <row r="163" customFormat="false" ht="14.25" hidden="false" customHeight="false" outlineLevel="0" collapsed="false">
      <c r="A163" s="247"/>
      <c r="B163" s="248"/>
      <c r="C163" s="249"/>
      <c r="D163" s="250"/>
      <c r="E163" s="251" t="n">
        <v>665</v>
      </c>
      <c r="F163" s="252" t="n">
        <v>665</v>
      </c>
    </row>
    <row r="164" customFormat="false" ht="14.25" hidden="false" customHeight="false" outlineLevel="0" collapsed="false">
      <c r="A164" s="247"/>
      <c r="B164" s="248"/>
      <c r="C164" s="249"/>
      <c r="D164" s="250"/>
      <c r="E164" s="251"/>
      <c r="F164" s="252" t="n">
        <v>673</v>
      </c>
    </row>
    <row r="165" customFormat="false" ht="14.25" hidden="false" customHeight="false" outlineLevel="0" collapsed="false">
      <c r="A165" s="247" t="n">
        <v>680</v>
      </c>
      <c r="B165" s="248" t="n">
        <v>680</v>
      </c>
      <c r="C165" s="249" t="n">
        <v>680</v>
      </c>
      <c r="D165" s="250" t="n">
        <v>681</v>
      </c>
      <c r="E165" s="251" t="n">
        <v>681</v>
      </c>
      <c r="F165" s="252" t="n">
        <v>681</v>
      </c>
    </row>
    <row r="166" customFormat="false" ht="14.25" hidden="false" customHeight="false" outlineLevel="0" collapsed="false">
      <c r="A166" s="247"/>
      <c r="B166" s="248"/>
      <c r="C166" s="249"/>
      <c r="D166" s="250"/>
      <c r="E166" s="251"/>
      <c r="F166" s="252" t="n">
        <v>690</v>
      </c>
    </row>
    <row r="167" customFormat="false" ht="14.25" hidden="false" customHeight="false" outlineLevel="0" collapsed="false">
      <c r="A167" s="247"/>
      <c r="B167" s="248"/>
      <c r="C167" s="249"/>
      <c r="D167" s="250"/>
      <c r="E167" s="251" t="n">
        <v>698</v>
      </c>
      <c r="F167" s="252" t="n">
        <v>698</v>
      </c>
    </row>
    <row r="168" customFormat="false" ht="14.25" hidden="false" customHeight="false" outlineLevel="0" collapsed="false">
      <c r="A168" s="247"/>
      <c r="B168" s="248"/>
      <c r="C168" s="249"/>
      <c r="D168" s="250"/>
      <c r="E168" s="251"/>
      <c r="F168" s="252" t="n">
        <v>706</v>
      </c>
    </row>
    <row r="169" customFormat="false" ht="14.25" hidden="false" customHeight="false" outlineLevel="0" collapsed="false">
      <c r="A169" s="247"/>
      <c r="B169" s="248"/>
      <c r="C169" s="249"/>
      <c r="D169" s="250" t="n">
        <v>715</v>
      </c>
      <c r="E169" s="251" t="n">
        <v>715</v>
      </c>
      <c r="F169" s="252" t="n">
        <v>715</v>
      </c>
    </row>
    <row r="170" customFormat="false" ht="14.25" hidden="false" customHeight="false" outlineLevel="0" collapsed="false">
      <c r="A170" s="247"/>
      <c r="B170" s="248"/>
      <c r="C170" s="249"/>
      <c r="D170" s="250"/>
      <c r="E170" s="251"/>
      <c r="F170" s="252" t="n">
        <v>723</v>
      </c>
    </row>
    <row r="171" customFormat="false" ht="14.25" hidden="false" customHeight="false" outlineLevel="0" collapsed="false">
      <c r="A171" s="247"/>
      <c r="B171" s="248"/>
      <c r="C171" s="249"/>
      <c r="D171" s="250"/>
      <c r="E171" s="251" t="n">
        <v>732</v>
      </c>
      <c r="F171" s="252" t="n">
        <v>732</v>
      </c>
    </row>
    <row r="172" customFormat="false" ht="14.25" hidden="false" customHeight="false" outlineLevel="0" collapsed="false">
      <c r="A172" s="247"/>
      <c r="B172" s="248"/>
      <c r="C172" s="249"/>
      <c r="D172" s="250"/>
      <c r="E172" s="251"/>
      <c r="F172" s="252" t="n">
        <v>741</v>
      </c>
    </row>
    <row r="173" customFormat="false" ht="14.25" hidden="false" customHeight="false" outlineLevel="0" collapsed="false">
      <c r="A173" s="247"/>
      <c r="B173" s="248"/>
      <c r="C173" s="249" t="n">
        <v>750</v>
      </c>
      <c r="D173" s="250" t="n">
        <v>750</v>
      </c>
      <c r="E173" s="251" t="n">
        <v>750</v>
      </c>
      <c r="F173" s="252" t="n">
        <v>750</v>
      </c>
    </row>
    <row r="174" customFormat="false" ht="14.25" hidden="false" customHeight="false" outlineLevel="0" collapsed="false">
      <c r="A174" s="247"/>
      <c r="B174" s="248"/>
      <c r="C174" s="249"/>
      <c r="D174" s="250"/>
      <c r="E174" s="251"/>
      <c r="F174" s="252" t="n">
        <v>759</v>
      </c>
    </row>
    <row r="175" customFormat="false" ht="14.25" hidden="false" customHeight="false" outlineLevel="0" collapsed="false">
      <c r="A175" s="247"/>
      <c r="B175" s="248"/>
      <c r="C175" s="249"/>
      <c r="D175" s="250"/>
      <c r="E175" s="251" t="n">
        <v>768</v>
      </c>
      <c r="F175" s="252" t="n">
        <v>768</v>
      </c>
    </row>
    <row r="176" customFormat="false" ht="14.25" hidden="false" customHeight="false" outlineLevel="0" collapsed="false">
      <c r="A176" s="247"/>
      <c r="B176" s="248"/>
      <c r="C176" s="249"/>
      <c r="D176" s="250"/>
      <c r="E176" s="251"/>
      <c r="F176" s="252" t="n">
        <v>777</v>
      </c>
    </row>
    <row r="177" customFormat="false" ht="14.25" hidden="false" customHeight="false" outlineLevel="0" collapsed="false">
      <c r="A177" s="247"/>
      <c r="B177" s="248"/>
      <c r="C177" s="249"/>
      <c r="D177" s="250" t="n">
        <v>787</v>
      </c>
      <c r="E177" s="251" t="n">
        <v>787</v>
      </c>
      <c r="F177" s="252" t="n">
        <v>787</v>
      </c>
    </row>
    <row r="178" customFormat="false" ht="14.25" hidden="false" customHeight="false" outlineLevel="0" collapsed="false">
      <c r="A178" s="247"/>
      <c r="B178" s="248"/>
      <c r="C178" s="249"/>
      <c r="D178" s="250"/>
      <c r="E178" s="251"/>
      <c r="F178" s="252" t="n">
        <v>796</v>
      </c>
    </row>
    <row r="179" customFormat="false" ht="14.25" hidden="false" customHeight="false" outlineLevel="0" collapsed="false">
      <c r="A179" s="247"/>
      <c r="B179" s="248"/>
      <c r="C179" s="249"/>
      <c r="D179" s="250"/>
      <c r="E179" s="251" t="n">
        <v>806</v>
      </c>
      <c r="F179" s="252" t="n">
        <v>806</v>
      </c>
    </row>
    <row r="180" customFormat="false" ht="14.25" hidden="false" customHeight="false" outlineLevel="0" collapsed="false">
      <c r="A180" s="247"/>
      <c r="B180" s="248"/>
      <c r="C180" s="249"/>
      <c r="D180" s="250"/>
      <c r="E180" s="251"/>
      <c r="F180" s="252" t="n">
        <v>816</v>
      </c>
    </row>
    <row r="181" customFormat="false" ht="14.25" hidden="false" customHeight="false" outlineLevel="0" collapsed="false">
      <c r="A181" s="247"/>
      <c r="B181" s="248" t="n">
        <v>820</v>
      </c>
      <c r="C181" s="249" t="n">
        <v>820</v>
      </c>
      <c r="D181" s="250" t="n">
        <v>825</v>
      </c>
      <c r="E181" s="251" t="n">
        <v>825</v>
      </c>
      <c r="F181" s="252" t="n">
        <v>825</v>
      </c>
    </row>
    <row r="182" customFormat="false" ht="14.25" hidden="false" customHeight="false" outlineLevel="0" collapsed="false">
      <c r="A182" s="247"/>
      <c r="B182" s="248"/>
      <c r="C182" s="249"/>
      <c r="D182" s="250"/>
      <c r="E182" s="251"/>
      <c r="F182" s="252" t="n">
        <v>835</v>
      </c>
    </row>
    <row r="183" customFormat="false" ht="14.25" hidden="false" customHeight="false" outlineLevel="0" collapsed="false">
      <c r="A183" s="247"/>
      <c r="B183" s="248"/>
      <c r="C183" s="249"/>
      <c r="D183" s="250"/>
      <c r="E183" s="251" t="n">
        <v>845</v>
      </c>
      <c r="F183" s="252" t="n">
        <v>845</v>
      </c>
    </row>
    <row r="184" customFormat="false" ht="14.25" hidden="false" customHeight="false" outlineLevel="0" collapsed="false">
      <c r="A184" s="247"/>
      <c r="B184" s="248"/>
      <c r="C184" s="249"/>
      <c r="D184" s="250"/>
      <c r="E184" s="251"/>
      <c r="F184" s="252" t="n">
        <v>856</v>
      </c>
    </row>
    <row r="185" customFormat="false" ht="14.25" hidden="false" customHeight="false" outlineLevel="0" collapsed="false">
      <c r="A185" s="247"/>
      <c r="B185" s="248"/>
      <c r="C185" s="249"/>
      <c r="D185" s="250" t="n">
        <v>866</v>
      </c>
      <c r="E185" s="251" t="n">
        <v>866</v>
      </c>
      <c r="F185" s="252" t="n">
        <v>866</v>
      </c>
    </row>
    <row r="186" customFormat="false" ht="14.25" hidden="false" customHeight="false" outlineLevel="0" collapsed="false">
      <c r="A186" s="247"/>
      <c r="B186" s="248"/>
      <c r="C186" s="249"/>
      <c r="D186" s="250"/>
      <c r="E186" s="251"/>
      <c r="F186" s="252" t="n">
        <v>876</v>
      </c>
    </row>
    <row r="187" customFormat="false" ht="14.25" hidden="false" customHeight="false" outlineLevel="0" collapsed="false">
      <c r="A187" s="247"/>
      <c r="B187" s="248"/>
      <c r="C187" s="249"/>
      <c r="D187" s="250"/>
      <c r="E187" s="251" t="n">
        <v>887</v>
      </c>
      <c r="F187" s="252" t="n">
        <v>887</v>
      </c>
    </row>
    <row r="188" customFormat="false" ht="14.25" hidden="false" customHeight="false" outlineLevel="0" collapsed="false">
      <c r="A188" s="247"/>
      <c r="B188" s="248"/>
      <c r="C188" s="249"/>
      <c r="D188" s="250"/>
      <c r="E188" s="251"/>
      <c r="F188" s="252" t="n">
        <v>898</v>
      </c>
    </row>
    <row r="189" customFormat="false" ht="14.25" hidden="false" customHeight="false" outlineLevel="0" collapsed="false">
      <c r="A189" s="247"/>
      <c r="B189" s="248"/>
      <c r="C189" s="249" t="n">
        <v>910</v>
      </c>
      <c r="D189" s="250" t="n">
        <v>909</v>
      </c>
      <c r="E189" s="251" t="n">
        <v>909</v>
      </c>
      <c r="F189" s="252" t="n">
        <v>909</v>
      </c>
    </row>
    <row r="190" customFormat="false" ht="14.25" hidden="false" customHeight="false" outlineLevel="0" collapsed="false">
      <c r="A190" s="247"/>
      <c r="B190" s="248"/>
      <c r="C190" s="249"/>
      <c r="D190" s="250"/>
      <c r="E190" s="251"/>
      <c r="F190" s="252" t="n">
        <v>920</v>
      </c>
    </row>
    <row r="191" customFormat="false" ht="14.25" hidden="false" customHeight="false" outlineLevel="0" collapsed="false">
      <c r="A191" s="247"/>
      <c r="B191" s="248"/>
      <c r="C191" s="249"/>
      <c r="D191" s="250"/>
      <c r="E191" s="251" t="n">
        <v>931</v>
      </c>
      <c r="F191" s="252" t="n">
        <v>931</v>
      </c>
    </row>
    <row r="192" customFormat="false" ht="14.25" hidden="false" customHeight="false" outlineLevel="0" collapsed="false">
      <c r="A192" s="247"/>
      <c r="B192" s="248"/>
      <c r="C192" s="249"/>
      <c r="D192" s="250"/>
      <c r="E192" s="251"/>
      <c r="F192" s="252" t="n">
        <v>942</v>
      </c>
    </row>
    <row r="193" customFormat="false" ht="14.25" hidden="false" customHeight="false" outlineLevel="0" collapsed="false">
      <c r="A193" s="247"/>
      <c r="B193" s="248"/>
      <c r="C193" s="249"/>
      <c r="D193" s="250" t="n">
        <v>953</v>
      </c>
      <c r="E193" s="251" t="n">
        <v>953</v>
      </c>
      <c r="F193" s="252" t="n">
        <v>953</v>
      </c>
    </row>
    <row r="194" customFormat="false" ht="14.25" hidden="false" customHeight="false" outlineLevel="0" collapsed="false">
      <c r="A194" s="247"/>
      <c r="B194" s="248"/>
      <c r="C194" s="249"/>
      <c r="D194" s="250"/>
      <c r="E194" s="251"/>
      <c r="F194" s="252" t="n">
        <v>965</v>
      </c>
    </row>
    <row r="195" customFormat="false" ht="14.25" hidden="false" customHeight="false" outlineLevel="0" collapsed="false">
      <c r="A195" s="247"/>
      <c r="B195" s="248"/>
      <c r="C195" s="249"/>
      <c r="D195" s="250"/>
      <c r="E195" s="251" t="n">
        <v>976</v>
      </c>
      <c r="F195" s="252" t="n">
        <v>976</v>
      </c>
    </row>
    <row r="196" customFormat="false" ht="14.25" hidden="false" customHeight="false" outlineLevel="0" collapsed="false">
      <c r="A196" s="247"/>
      <c r="B196" s="248"/>
      <c r="C196" s="249"/>
      <c r="D196" s="250"/>
      <c r="E196" s="251"/>
      <c r="F196" s="252" t="n">
        <v>988</v>
      </c>
    </row>
    <row r="197" customFormat="false" ht="14.25" hidden="false" customHeight="false" outlineLevel="0" collapsed="false">
      <c r="A197" s="254" t="n">
        <v>1000</v>
      </c>
      <c r="B197" s="255" t="n">
        <v>1000</v>
      </c>
      <c r="C197" s="256" t="n">
        <v>1000</v>
      </c>
      <c r="D197" s="257" t="n">
        <v>1000</v>
      </c>
      <c r="E197" s="258" t="n">
        <v>1000</v>
      </c>
      <c r="F197" s="259" t="n">
        <v>1000</v>
      </c>
      <c r="G197" s="260" t="s">
        <v>231</v>
      </c>
    </row>
  </sheetData>
  <sheetProtection sheet="true" objects="true" scenarios="true"/>
  <mergeCells count="187">
    <mergeCell ref="A1:F1"/>
    <mergeCell ref="A5:A36"/>
    <mergeCell ref="B5:B20"/>
    <mergeCell ref="C5:C12"/>
    <mergeCell ref="D5:D8"/>
    <mergeCell ref="E5:E6"/>
    <mergeCell ref="E7:E8"/>
    <mergeCell ref="D9:D12"/>
    <mergeCell ref="E9:E10"/>
    <mergeCell ref="E11:E12"/>
    <mergeCell ref="C13:C20"/>
    <mergeCell ref="D13:D16"/>
    <mergeCell ref="E13:E14"/>
    <mergeCell ref="E15:E16"/>
    <mergeCell ref="D17:D20"/>
    <mergeCell ref="E17:E18"/>
    <mergeCell ref="E19:E20"/>
    <mergeCell ref="B21:B36"/>
    <mergeCell ref="C21:C28"/>
    <mergeCell ref="D21:D24"/>
    <mergeCell ref="E21:E22"/>
    <mergeCell ref="E23:E24"/>
    <mergeCell ref="D25:D28"/>
    <mergeCell ref="E25:E26"/>
    <mergeCell ref="E27:E28"/>
    <mergeCell ref="C29:C36"/>
    <mergeCell ref="D29:D32"/>
    <mergeCell ref="E29:E30"/>
    <mergeCell ref="E31:E32"/>
    <mergeCell ref="D33:D36"/>
    <mergeCell ref="E33:E34"/>
    <mergeCell ref="E35:E36"/>
    <mergeCell ref="A37:A68"/>
    <mergeCell ref="B37:B52"/>
    <mergeCell ref="C37:C44"/>
    <mergeCell ref="D37:D40"/>
    <mergeCell ref="E37:E38"/>
    <mergeCell ref="E39:E40"/>
    <mergeCell ref="D41:D44"/>
    <mergeCell ref="E41:E42"/>
    <mergeCell ref="E43:E44"/>
    <mergeCell ref="C45:C52"/>
    <mergeCell ref="D45:D48"/>
    <mergeCell ref="E45:E46"/>
    <mergeCell ref="E47:E48"/>
    <mergeCell ref="D49:D52"/>
    <mergeCell ref="E49:E50"/>
    <mergeCell ref="E51:E52"/>
    <mergeCell ref="B53:B68"/>
    <mergeCell ref="C53:C60"/>
    <mergeCell ref="D53:D56"/>
    <mergeCell ref="E53:E54"/>
    <mergeCell ref="E55:E56"/>
    <mergeCell ref="D57:D60"/>
    <mergeCell ref="E57:E58"/>
    <mergeCell ref="E59:E60"/>
    <mergeCell ref="C61:C68"/>
    <mergeCell ref="D61:D64"/>
    <mergeCell ref="E61:E62"/>
    <mergeCell ref="E63:E64"/>
    <mergeCell ref="D65:D68"/>
    <mergeCell ref="E65:E66"/>
    <mergeCell ref="E67:E68"/>
    <mergeCell ref="A69:A100"/>
    <mergeCell ref="B69:B84"/>
    <mergeCell ref="C69:C76"/>
    <mergeCell ref="D69:D72"/>
    <mergeCell ref="E69:E70"/>
    <mergeCell ref="E71:E72"/>
    <mergeCell ref="D73:D76"/>
    <mergeCell ref="E73:E74"/>
    <mergeCell ref="E75:E76"/>
    <mergeCell ref="C77:C84"/>
    <mergeCell ref="D77:D80"/>
    <mergeCell ref="E77:E78"/>
    <mergeCell ref="E79:E80"/>
    <mergeCell ref="D81:D84"/>
    <mergeCell ref="E81:E82"/>
    <mergeCell ref="E83:E84"/>
    <mergeCell ref="B85:B100"/>
    <mergeCell ref="C85:C92"/>
    <mergeCell ref="D85:D88"/>
    <mergeCell ref="E85:E86"/>
    <mergeCell ref="E87:E88"/>
    <mergeCell ref="D89:D92"/>
    <mergeCell ref="E89:E90"/>
    <mergeCell ref="E91:E92"/>
    <mergeCell ref="C93:C100"/>
    <mergeCell ref="D93:D96"/>
    <mergeCell ref="E93:E94"/>
    <mergeCell ref="E95:E96"/>
    <mergeCell ref="D97:D100"/>
    <mergeCell ref="E97:E98"/>
    <mergeCell ref="E99:E100"/>
    <mergeCell ref="A101:A132"/>
    <mergeCell ref="B101:B116"/>
    <mergeCell ref="C101:C108"/>
    <mergeCell ref="D101:D104"/>
    <mergeCell ref="E101:E102"/>
    <mergeCell ref="E103:E104"/>
    <mergeCell ref="D105:D108"/>
    <mergeCell ref="E105:E106"/>
    <mergeCell ref="E107:E108"/>
    <mergeCell ref="C109:C116"/>
    <mergeCell ref="D109:D112"/>
    <mergeCell ref="E109:E110"/>
    <mergeCell ref="E111:E112"/>
    <mergeCell ref="D113:D116"/>
    <mergeCell ref="E113:E114"/>
    <mergeCell ref="E115:E116"/>
    <mergeCell ref="B117:B132"/>
    <mergeCell ref="C117:C124"/>
    <mergeCell ref="D117:D120"/>
    <mergeCell ref="E117:E118"/>
    <mergeCell ref="E119:E120"/>
    <mergeCell ref="D121:D124"/>
    <mergeCell ref="E121:E122"/>
    <mergeCell ref="E123:E124"/>
    <mergeCell ref="C125:C132"/>
    <mergeCell ref="D125:D128"/>
    <mergeCell ref="E125:E126"/>
    <mergeCell ref="E127:E128"/>
    <mergeCell ref="D129:D132"/>
    <mergeCell ref="E129:E130"/>
    <mergeCell ref="E131:E132"/>
    <mergeCell ref="A133:A164"/>
    <mergeCell ref="B133:B148"/>
    <mergeCell ref="C133:C140"/>
    <mergeCell ref="D133:D136"/>
    <mergeCell ref="E133:E134"/>
    <mergeCell ref="E135:E136"/>
    <mergeCell ref="D137:D140"/>
    <mergeCell ref="E137:E138"/>
    <mergeCell ref="E139:E140"/>
    <mergeCell ref="C141:C148"/>
    <mergeCell ref="D141:D144"/>
    <mergeCell ref="E141:E142"/>
    <mergeCell ref="E143:E144"/>
    <mergeCell ref="D145:D148"/>
    <mergeCell ref="E145:E146"/>
    <mergeCell ref="E147:E148"/>
    <mergeCell ref="B149:B164"/>
    <mergeCell ref="C149:C156"/>
    <mergeCell ref="D149:D152"/>
    <mergeCell ref="E149:E150"/>
    <mergeCell ref="E151:E152"/>
    <mergeCell ref="D153:D156"/>
    <mergeCell ref="E153:E154"/>
    <mergeCell ref="E155:E156"/>
    <mergeCell ref="C157:C164"/>
    <mergeCell ref="D157:D160"/>
    <mergeCell ref="E157:E158"/>
    <mergeCell ref="E159:E160"/>
    <mergeCell ref="D161:D164"/>
    <mergeCell ref="E161:E162"/>
    <mergeCell ref="E163:E164"/>
    <mergeCell ref="A165:A196"/>
    <mergeCell ref="B165:B180"/>
    <mergeCell ref="C165:C172"/>
    <mergeCell ref="D165:D168"/>
    <mergeCell ref="E165:E166"/>
    <mergeCell ref="E167:E168"/>
    <mergeCell ref="D169:D172"/>
    <mergeCell ref="E169:E170"/>
    <mergeCell ref="E171:E172"/>
    <mergeCell ref="C173:C180"/>
    <mergeCell ref="D173:D176"/>
    <mergeCell ref="E173:E174"/>
    <mergeCell ref="E175:E176"/>
    <mergeCell ref="D177:D180"/>
    <mergeCell ref="E177:E178"/>
    <mergeCell ref="E179:E180"/>
    <mergeCell ref="B181:B196"/>
    <mergeCell ref="C181:C188"/>
    <mergeCell ref="D181:D184"/>
    <mergeCell ref="E181:E182"/>
    <mergeCell ref="E183:E184"/>
    <mergeCell ref="D185:D188"/>
    <mergeCell ref="E185:E186"/>
    <mergeCell ref="E187:E188"/>
    <mergeCell ref="C189:C196"/>
    <mergeCell ref="D189:D192"/>
    <mergeCell ref="E189:E190"/>
    <mergeCell ref="E191:E192"/>
    <mergeCell ref="D193:D196"/>
    <mergeCell ref="E193:E194"/>
    <mergeCell ref="E195:E196"/>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3" topLeftCell="B43" activePane="bottomRight" state="frozen"/>
      <selection pane="topLeft" activeCell="A1" activeCellId="0" sqref="A1"/>
      <selection pane="topRight" activeCell="B1" activeCellId="0" sqref="B1"/>
      <selection pane="bottomLeft" activeCell="A43" activeCellId="0" sqref="A43"/>
      <selection pane="bottomRight" activeCell="A1" activeCellId="0" sqref="A1"/>
    </sheetView>
  </sheetViews>
  <sheetFormatPr defaultColWidth="8.4453125" defaultRowHeight="14.25" customHeight="false" zeroHeight="false" outlineLevelRow="0" outlineLevelCol="0"/>
  <cols>
    <col collapsed="false" customWidth="true" hidden="false" outlineLevel="0" max="4" min="1" style="141" width="9.36"/>
  </cols>
  <sheetData>
    <row r="1" customFormat="false" ht="28.65" hidden="false" customHeight="false" outlineLevel="0" collapsed="false">
      <c r="A1" s="261" t="s">
        <v>232</v>
      </c>
      <c r="B1" s="261"/>
    </row>
    <row r="3" customFormat="false" ht="14.25" hidden="false" customHeight="false" outlineLevel="0" collapsed="false">
      <c r="A3" s="262" t="s">
        <v>156</v>
      </c>
      <c r="B3" s="262" t="s">
        <v>192</v>
      </c>
      <c r="C3" s="262" t="s">
        <v>233</v>
      </c>
      <c r="D3" s="262" t="s">
        <v>234</v>
      </c>
    </row>
    <row r="4" customFormat="false" ht="14.25" hidden="false" customHeight="false" outlineLevel="0" collapsed="false">
      <c r="A4" s="263" t="n">
        <v>1</v>
      </c>
      <c r="B4" s="263" t="n">
        <v>1</v>
      </c>
      <c r="C4" s="263" t="n">
        <v>1</v>
      </c>
      <c r="D4" s="263" t="n">
        <v>1</v>
      </c>
    </row>
    <row r="5" customFormat="false" ht="14.25" hidden="false" customHeight="false" outlineLevel="0" collapsed="false">
      <c r="A5" s="263" t="n">
        <v>1.1</v>
      </c>
      <c r="B5" s="263" t="n">
        <v>1.1</v>
      </c>
      <c r="C5" s="263"/>
      <c r="D5" s="263"/>
    </row>
    <row r="6" customFormat="false" ht="14.25" hidden="false" customHeight="false" outlineLevel="0" collapsed="false">
      <c r="A6" s="263" t="n">
        <v>1.2</v>
      </c>
      <c r="B6" s="263" t="n">
        <v>1.2</v>
      </c>
      <c r="C6" s="263"/>
      <c r="D6" s="263"/>
    </row>
    <row r="7" customFormat="false" ht="14.25" hidden="false" customHeight="false" outlineLevel="0" collapsed="false">
      <c r="A7" s="263" t="n">
        <v>1.3</v>
      </c>
      <c r="B7" s="263" t="n">
        <v>1.3</v>
      </c>
      <c r="C7" s="263"/>
      <c r="D7" s="263"/>
    </row>
    <row r="8" customFormat="false" ht="14.25" hidden="false" customHeight="false" outlineLevel="0" collapsed="false">
      <c r="A8" s="263" t="n">
        <v>1.5</v>
      </c>
      <c r="B8" s="263" t="n">
        <v>1.5</v>
      </c>
      <c r="C8" s="263" t="n">
        <v>1.5</v>
      </c>
      <c r="D8" s="263" t="n">
        <v>1.5</v>
      </c>
    </row>
    <row r="9" customFormat="false" ht="14.25" hidden="false" customHeight="false" outlineLevel="0" collapsed="false">
      <c r="A9" s="263" t="n">
        <v>1.6</v>
      </c>
      <c r="B9" s="263" t="n">
        <v>1.6</v>
      </c>
      <c r="C9" s="263"/>
      <c r="D9" s="263"/>
    </row>
    <row r="10" customFormat="false" ht="14.25" hidden="false" customHeight="false" outlineLevel="0" collapsed="false">
      <c r="A10" s="263" t="n">
        <v>1.8</v>
      </c>
      <c r="B10" s="263" t="n">
        <v>1.8</v>
      </c>
      <c r="C10" s="263"/>
      <c r="D10" s="263"/>
    </row>
    <row r="11" customFormat="false" ht="14.25" hidden="false" customHeight="false" outlineLevel="0" collapsed="false">
      <c r="A11" s="263" t="n">
        <v>2</v>
      </c>
      <c r="B11" s="263" t="n">
        <v>2</v>
      </c>
      <c r="C11" s="263"/>
      <c r="D11" s="263"/>
    </row>
    <row r="12" customFormat="false" ht="14.25" hidden="false" customHeight="false" outlineLevel="0" collapsed="false">
      <c r="A12" s="263" t="n">
        <v>2.2</v>
      </c>
      <c r="B12" s="263" t="n">
        <v>2.2</v>
      </c>
      <c r="C12" s="263" t="n">
        <v>2.2</v>
      </c>
      <c r="D12" s="263" t="n">
        <v>2.2</v>
      </c>
    </row>
    <row r="13" customFormat="false" ht="14.25" hidden="false" customHeight="false" outlineLevel="0" collapsed="false">
      <c r="A13" s="263" t="n">
        <v>2.4</v>
      </c>
      <c r="B13" s="263" t="n">
        <v>2.4</v>
      </c>
      <c r="C13" s="263"/>
      <c r="D13" s="263"/>
    </row>
    <row r="14" customFormat="false" ht="14.25" hidden="false" customHeight="false" outlineLevel="0" collapsed="false">
      <c r="A14" s="263" t="n">
        <v>2.7</v>
      </c>
      <c r="B14" s="263" t="n">
        <v>2.7</v>
      </c>
      <c r="C14" s="263"/>
      <c r="D14" s="263"/>
    </row>
    <row r="15" customFormat="false" ht="14.25" hidden="false" customHeight="false" outlineLevel="0" collapsed="false">
      <c r="A15" s="263" t="n">
        <v>3</v>
      </c>
      <c r="B15" s="263" t="n">
        <v>3</v>
      </c>
      <c r="C15" s="263"/>
      <c r="D15" s="263"/>
    </row>
    <row r="16" customFormat="false" ht="14.25" hidden="false" customHeight="false" outlineLevel="0" collapsed="false">
      <c r="A16" s="263" t="n">
        <v>3.3</v>
      </c>
      <c r="B16" s="263" t="n">
        <v>3.3</v>
      </c>
      <c r="C16" s="263" t="n">
        <v>3.3</v>
      </c>
      <c r="D16" s="263" t="n">
        <v>3.3</v>
      </c>
    </row>
    <row r="17" customFormat="false" ht="14.25" hidden="false" customHeight="false" outlineLevel="0" collapsed="false">
      <c r="A17" s="263" t="n">
        <v>3.6</v>
      </c>
      <c r="B17" s="263" t="n">
        <v>3.6</v>
      </c>
      <c r="C17" s="263" t="n">
        <f aca="false">C18</f>
        <v>4.7</v>
      </c>
      <c r="D17" s="263"/>
    </row>
    <row r="18" customFormat="false" ht="14.25" hidden="false" customHeight="false" outlineLevel="0" collapsed="false">
      <c r="A18" s="263" t="n">
        <v>3.9</v>
      </c>
      <c r="B18" s="263" t="n">
        <v>3.9</v>
      </c>
      <c r="C18" s="263" t="n">
        <f aca="false">C19</f>
        <v>4.7</v>
      </c>
      <c r="D18" s="263"/>
    </row>
    <row r="19" customFormat="false" ht="14.25" hidden="false" customHeight="false" outlineLevel="0" collapsed="false">
      <c r="A19" s="263" t="n">
        <v>4.3</v>
      </c>
      <c r="B19" s="263" t="n">
        <v>4.3</v>
      </c>
      <c r="C19" s="263" t="n">
        <f aca="false">C20</f>
        <v>4.7</v>
      </c>
      <c r="D19" s="263"/>
    </row>
    <row r="20" customFormat="false" ht="14.25" hidden="false" customHeight="false" outlineLevel="0" collapsed="false">
      <c r="A20" s="263" t="n">
        <v>4.7</v>
      </c>
      <c r="B20" s="263" t="n">
        <v>4.7</v>
      </c>
      <c r="C20" s="263" t="n">
        <v>4.7</v>
      </c>
      <c r="D20" s="263" t="n">
        <v>4.7</v>
      </c>
    </row>
    <row r="21" customFormat="false" ht="14.25" hidden="false" customHeight="false" outlineLevel="0" collapsed="false">
      <c r="A21" s="263" t="n">
        <v>5.1</v>
      </c>
      <c r="B21" s="263" t="n">
        <v>5.1</v>
      </c>
      <c r="C21" s="263" t="n">
        <f aca="false">C22</f>
        <v>6.8</v>
      </c>
      <c r="D21" s="263"/>
    </row>
    <row r="22" customFormat="false" ht="14.25" hidden="false" customHeight="false" outlineLevel="0" collapsed="false">
      <c r="A22" s="263" t="n">
        <v>5.6</v>
      </c>
      <c r="B22" s="263" t="n">
        <v>5.6</v>
      </c>
      <c r="C22" s="263" t="n">
        <f aca="false">C23</f>
        <v>6.8</v>
      </c>
      <c r="D22" s="263"/>
    </row>
    <row r="23" customFormat="false" ht="14.25" hidden="false" customHeight="false" outlineLevel="0" collapsed="false">
      <c r="A23" s="263" t="n">
        <v>6.2</v>
      </c>
      <c r="B23" s="263" t="n">
        <v>6.2</v>
      </c>
      <c r="C23" s="263" t="n">
        <f aca="false">C24</f>
        <v>6.8</v>
      </c>
      <c r="D23" s="263"/>
    </row>
    <row r="24" customFormat="false" ht="14.25" hidden="false" customHeight="false" outlineLevel="0" collapsed="false">
      <c r="A24" s="263" t="n">
        <v>6.8</v>
      </c>
      <c r="B24" s="263" t="n">
        <v>6.8</v>
      </c>
      <c r="C24" s="263" t="n">
        <v>6.8</v>
      </c>
      <c r="D24" s="263" t="n">
        <v>6.8</v>
      </c>
    </row>
    <row r="25" customFormat="false" ht="14.25" hidden="false" customHeight="false" outlineLevel="0" collapsed="false">
      <c r="A25" s="263" t="n">
        <v>7.5</v>
      </c>
      <c r="B25" s="263" t="n">
        <v>7.5</v>
      </c>
      <c r="C25" s="263" t="n">
        <f aca="false">C26</f>
        <v>10</v>
      </c>
      <c r="D25" s="263"/>
    </row>
    <row r="26" customFormat="false" ht="14.25" hidden="false" customHeight="false" outlineLevel="0" collapsed="false">
      <c r="A26" s="263" t="n">
        <v>8.2</v>
      </c>
      <c r="B26" s="263" t="n">
        <v>8.2</v>
      </c>
      <c r="C26" s="263" t="n">
        <f aca="false">C27</f>
        <v>10</v>
      </c>
      <c r="D26" s="263"/>
    </row>
    <row r="27" customFormat="false" ht="14.25" hidden="false" customHeight="false" outlineLevel="0" collapsed="false">
      <c r="A27" s="263" t="n">
        <v>9.1</v>
      </c>
      <c r="B27" s="263" t="n">
        <v>9.1</v>
      </c>
      <c r="C27" s="263" t="n">
        <f aca="false">C28</f>
        <v>10</v>
      </c>
      <c r="D27" s="263"/>
    </row>
    <row r="28" customFormat="false" ht="14.25" hidden="false" customHeight="false" outlineLevel="0" collapsed="false">
      <c r="A28" s="263" t="n">
        <v>10</v>
      </c>
      <c r="B28" s="263" t="n">
        <v>10</v>
      </c>
      <c r="C28" s="263" t="n">
        <v>10</v>
      </c>
      <c r="D28" s="263" t="n">
        <v>10</v>
      </c>
    </row>
    <row r="29" customFormat="false" ht="14.25" hidden="false" customHeight="false" outlineLevel="0" collapsed="false">
      <c r="A29" s="263" t="n">
        <v>11</v>
      </c>
      <c r="B29" s="263" t="n">
        <f aca="false">B30</f>
        <v>15</v>
      </c>
      <c r="C29" s="263" t="n">
        <f aca="false">C30</f>
        <v>15</v>
      </c>
      <c r="D29" s="263"/>
    </row>
    <row r="30" customFormat="false" ht="14.25" hidden="false" customHeight="false" outlineLevel="0" collapsed="false">
      <c r="A30" s="263" t="n">
        <v>12</v>
      </c>
      <c r="B30" s="263" t="n">
        <f aca="false">B31</f>
        <v>15</v>
      </c>
      <c r="C30" s="263" t="n">
        <f aca="false">C31</f>
        <v>15</v>
      </c>
      <c r="D30" s="263"/>
    </row>
    <row r="31" customFormat="false" ht="14.25" hidden="false" customHeight="false" outlineLevel="0" collapsed="false">
      <c r="A31" s="263" t="n">
        <v>13</v>
      </c>
      <c r="B31" s="263" t="n">
        <f aca="false">B32</f>
        <v>15</v>
      </c>
      <c r="C31" s="263" t="n">
        <f aca="false">C32</f>
        <v>15</v>
      </c>
      <c r="D31" s="263"/>
    </row>
    <row r="32" customFormat="false" ht="14.25" hidden="false" customHeight="false" outlineLevel="0" collapsed="false">
      <c r="A32" s="263" t="n">
        <v>15</v>
      </c>
      <c r="B32" s="263" t="n">
        <v>15</v>
      </c>
      <c r="C32" s="263" t="n">
        <v>15</v>
      </c>
      <c r="D32" s="263"/>
      <c r="F32" s="264"/>
    </row>
    <row r="33" customFormat="false" ht="14.25" hidden="false" customHeight="false" outlineLevel="0" collapsed="false">
      <c r="A33" s="263" t="n">
        <v>16</v>
      </c>
      <c r="B33" s="263" t="n">
        <f aca="false">B34</f>
        <v>22</v>
      </c>
      <c r="C33" s="263" t="n">
        <f aca="false">C34</f>
        <v>22</v>
      </c>
      <c r="D33" s="263"/>
    </row>
    <row r="34" customFormat="false" ht="14.25" hidden="false" customHeight="false" outlineLevel="0" collapsed="false">
      <c r="A34" s="263" t="n">
        <v>18</v>
      </c>
      <c r="B34" s="263" t="n">
        <f aca="false">B35</f>
        <v>22</v>
      </c>
      <c r="C34" s="263" t="n">
        <f aca="false">C35</f>
        <v>22</v>
      </c>
      <c r="D34" s="263"/>
    </row>
    <row r="35" customFormat="false" ht="14.25" hidden="false" customHeight="false" outlineLevel="0" collapsed="false">
      <c r="A35" s="263" t="n">
        <v>20</v>
      </c>
      <c r="B35" s="263" t="n">
        <f aca="false">B36</f>
        <v>22</v>
      </c>
      <c r="C35" s="263" t="n">
        <f aca="false">C36</f>
        <v>22</v>
      </c>
      <c r="D35" s="263"/>
    </row>
    <row r="36" customFormat="false" ht="14.25" hidden="false" customHeight="false" outlineLevel="0" collapsed="false">
      <c r="A36" s="263" t="n">
        <v>22</v>
      </c>
      <c r="B36" s="263" t="n">
        <v>22</v>
      </c>
      <c r="C36" s="263" t="n">
        <v>22</v>
      </c>
      <c r="D36" s="263"/>
    </row>
    <row r="37" customFormat="false" ht="14.25" hidden="false" customHeight="false" outlineLevel="0" collapsed="false">
      <c r="A37" s="263" t="n">
        <v>24</v>
      </c>
      <c r="B37" s="263" t="n">
        <f aca="false">B38</f>
        <v>33</v>
      </c>
      <c r="C37" s="263" t="n">
        <f aca="false">C38</f>
        <v>33</v>
      </c>
      <c r="D37" s="263"/>
    </row>
    <row r="38" customFormat="false" ht="14.25" hidden="false" customHeight="false" outlineLevel="0" collapsed="false">
      <c r="A38" s="263" t="n">
        <v>27</v>
      </c>
      <c r="B38" s="263" t="n">
        <f aca="false">B39</f>
        <v>33</v>
      </c>
      <c r="C38" s="263" t="n">
        <f aca="false">C39</f>
        <v>33</v>
      </c>
      <c r="D38" s="263"/>
    </row>
    <row r="39" customFormat="false" ht="14.25" hidden="false" customHeight="false" outlineLevel="0" collapsed="false">
      <c r="A39" s="263" t="n">
        <v>30</v>
      </c>
      <c r="B39" s="263" t="n">
        <f aca="false">B40</f>
        <v>33</v>
      </c>
      <c r="C39" s="263" t="n">
        <f aca="false">C40</f>
        <v>33</v>
      </c>
      <c r="D39" s="263"/>
    </row>
    <row r="40" customFormat="false" ht="14.25" hidden="false" customHeight="false" outlineLevel="0" collapsed="false">
      <c r="A40" s="263" t="n">
        <v>33</v>
      </c>
      <c r="B40" s="263" t="n">
        <v>33</v>
      </c>
      <c r="C40" s="263" t="n">
        <v>33</v>
      </c>
      <c r="D40" s="263"/>
    </row>
    <row r="41" customFormat="false" ht="14.25" hidden="false" customHeight="false" outlineLevel="0" collapsed="false">
      <c r="A41" s="263" t="n">
        <v>36</v>
      </c>
      <c r="B41" s="263" t="n">
        <f aca="false">B42</f>
        <v>47</v>
      </c>
      <c r="C41" s="263" t="n">
        <f aca="false">C42</f>
        <v>47</v>
      </c>
      <c r="D41" s="263"/>
    </row>
    <row r="42" customFormat="false" ht="14.25" hidden="false" customHeight="false" outlineLevel="0" collapsed="false">
      <c r="A42" s="263" t="n">
        <v>39</v>
      </c>
      <c r="B42" s="263" t="n">
        <f aca="false">B43</f>
        <v>47</v>
      </c>
      <c r="C42" s="263" t="n">
        <f aca="false">C43</f>
        <v>47</v>
      </c>
      <c r="D42" s="263"/>
    </row>
    <row r="43" customFormat="false" ht="14.25" hidden="false" customHeight="false" outlineLevel="0" collapsed="false">
      <c r="A43" s="263" t="n">
        <v>43</v>
      </c>
      <c r="B43" s="263" t="n">
        <f aca="false">B44</f>
        <v>47</v>
      </c>
      <c r="C43" s="263" t="n">
        <f aca="false">C44</f>
        <v>47</v>
      </c>
      <c r="D43" s="263"/>
    </row>
    <row r="44" customFormat="false" ht="14.25" hidden="false" customHeight="false" outlineLevel="0" collapsed="false">
      <c r="A44" s="263" t="n">
        <v>47</v>
      </c>
      <c r="B44" s="263" t="n">
        <v>47</v>
      </c>
      <c r="C44" s="263" t="n">
        <v>47</v>
      </c>
      <c r="D44" s="263"/>
    </row>
    <row r="45" customFormat="false" ht="14.25" hidden="false" customHeight="false" outlineLevel="0" collapsed="false">
      <c r="A45" s="263" t="n">
        <v>51</v>
      </c>
      <c r="B45" s="263" t="n">
        <f aca="false">B46</f>
        <v>68</v>
      </c>
      <c r="C45" s="263" t="n">
        <f aca="false">C46</f>
        <v>68</v>
      </c>
      <c r="D45" s="263"/>
    </row>
    <row r="46" customFormat="false" ht="14.25" hidden="false" customHeight="false" outlineLevel="0" collapsed="false">
      <c r="A46" s="263" t="n">
        <v>56</v>
      </c>
      <c r="B46" s="263" t="n">
        <f aca="false">B47</f>
        <v>68</v>
      </c>
      <c r="C46" s="263" t="n">
        <f aca="false">C47</f>
        <v>68</v>
      </c>
      <c r="D46" s="263"/>
    </row>
    <row r="47" customFormat="false" ht="14.25" hidden="false" customHeight="false" outlineLevel="0" collapsed="false">
      <c r="A47" s="263" t="n">
        <v>62</v>
      </c>
      <c r="B47" s="263" t="n">
        <f aca="false">B48</f>
        <v>68</v>
      </c>
      <c r="C47" s="263" t="n">
        <f aca="false">C48</f>
        <v>68</v>
      </c>
      <c r="D47" s="263"/>
    </row>
    <row r="48" customFormat="false" ht="14.25" hidden="false" customHeight="false" outlineLevel="0" collapsed="false">
      <c r="A48" s="263" t="n">
        <v>68</v>
      </c>
      <c r="B48" s="263" t="n">
        <v>68</v>
      </c>
      <c r="C48" s="263" t="n">
        <v>68</v>
      </c>
      <c r="D48" s="263"/>
    </row>
    <row r="49" customFormat="false" ht="14.25" hidden="false" customHeight="false" outlineLevel="0" collapsed="false">
      <c r="A49" s="263" t="n">
        <v>75</v>
      </c>
      <c r="B49" s="263" t="n">
        <f aca="false">B50</f>
        <v>100</v>
      </c>
      <c r="C49" s="263" t="n">
        <f aca="false">C50</f>
        <v>100</v>
      </c>
      <c r="D49" s="263"/>
    </row>
    <row r="50" customFormat="false" ht="14.25" hidden="false" customHeight="false" outlineLevel="0" collapsed="false">
      <c r="A50" s="263" t="n">
        <v>82</v>
      </c>
      <c r="B50" s="263" t="n">
        <f aca="false">B51</f>
        <v>100</v>
      </c>
      <c r="C50" s="263" t="n">
        <f aca="false">C51</f>
        <v>100</v>
      </c>
      <c r="D50" s="263"/>
    </row>
    <row r="51" customFormat="false" ht="14.25" hidden="false" customHeight="false" outlineLevel="0" collapsed="false">
      <c r="A51" s="263" t="n">
        <v>91</v>
      </c>
      <c r="B51" s="263" t="n">
        <f aca="false">B52</f>
        <v>100</v>
      </c>
      <c r="C51" s="263" t="n">
        <f aca="false">C52</f>
        <v>100</v>
      </c>
      <c r="D51" s="263"/>
    </row>
    <row r="52" customFormat="false" ht="14.25" hidden="false" customHeight="false" outlineLevel="0" collapsed="false">
      <c r="A52" s="263" t="n">
        <v>100</v>
      </c>
      <c r="B52" s="263" t="n">
        <v>100</v>
      </c>
      <c r="C52" s="263" t="n">
        <v>100</v>
      </c>
    </row>
    <row r="53" customFormat="false" ht="14.25" hidden="false" customHeight="false" outlineLevel="0" collapsed="false">
      <c r="A53" s="263" t="n">
        <v>110</v>
      </c>
      <c r="B53" s="263" t="n">
        <f aca="false">B54</f>
        <v>150</v>
      </c>
      <c r="C53" s="263" t="n">
        <f aca="false">C54</f>
        <v>150</v>
      </c>
    </row>
    <row r="54" customFormat="false" ht="14.25" hidden="false" customHeight="false" outlineLevel="0" collapsed="false">
      <c r="A54" s="263" t="n">
        <v>120</v>
      </c>
      <c r="B54" s="263" t="n">
        <f aca="false">B55</f>
        <v>150</v>
      </c>
      <c r="C54" s="263" t="n">
        <f aca="false">C55</f>
        <v>150</v>
      </c>
    </row>
    <row r="55" customFormat="false" ht="14.25" hidden="false" customHeight="false" outlineLevel="0" collapsed="false">
      <c r="A55" s="263" t="n">
        <v>130</v>
      </c>
      <c r="B55" s="263" t="n">
        <f aca="false">B56</f>
        <v>150</v>
      </c>
      <c r="C55" s="263" t="n">
        <f aca="false">C56</f>
        <v>150</v>
      </c>
    </row>
    <row r="56" customFormat="false" ht="14.25" hidden="false" customHeight="false" outlineLevel="0" collapsed="false">
      <c r="A56" s="263" t="n">
        <v>150</v>
      </c>
      <c r="B56" s="263" t="n">
        <v>150</v>
      </c>
      <c r="C56" s="263" t="n">
        <v>150</v>
      </c>
    </row>
    <row r="57" customFormat="false" ht="14.25" hidden="false" customHeight="false" outlineLevel="0" collapsed="false">
      <c r="A57" s="263" t="n">
        <v>160</v>
      </c>
      <c r="B57" s="263" t="n">
        <f aca="false">B58</f>
        <v>220</v>
      </c>
      <c r="C57" s="263" t="n">
        <f aca="false">C58</f>
        <v>220</v>
      </c>
    </row>
    <row r="58" customFormat="false" ht="14.25" hidden="false" customHeight="false" outlineLevel="0" collapsed="false">
      <c r="A58" s="263" t="n">
        <v>180</v>
      </c>
      <c r="B58" s="263" t="n">
        <f aca="false">B59</f>
        <v>220</v>
      </c>
      <c r="C58" s="263" t="n">
        <f aca="false">C59</f>
        <v>220</v>
      </c>
    </row>
    <row r="59" customFormat="false" ht="14.25" hidden="false" customHeight="false" outlineLevel="0" collapsed="false">
      <c r="A59" s="263" t="n">
        <v>200</v>
      </c>
      <c r="B59" s="263" t="n">
        <f aca="false">B60</f>
        <v>220</v>
      </c>
      <c r="C59" s="263" t="n">
        <f aca="false">C60</f>
        <v>220</v>
      </c>
    </row>
    <row r="60" customFormat="false" ht="14.25" hidden="false" customHeight="false" outlineLevel="0" collapsed="false">
      <c r="A60" s="263" t="n">
        <v>220</v>
      </c>
      <c r="B60" s="263" t="n">
        <v>220</v>
      </c>
      <c r="C60" s="263" t="n">
        <v>220</v>
      </c>
    </row>
    <row r="61" customFormat="false" ht="14.25" hidden="false" customHeight="false" outlineLevel="0" collapsed="false">
      <c r="A61" s="263" t="n">
        <v>240</v>
      </c>
      <c r="B61" s="263" t="n">
        <f aca="false">B62</f>
        <v>330</v>
      </c>
      <c r="C61" s="263" t="n">
        <f aca="false">C62</f>
        <v>330</v>
      </c>
    </row>
    <row r="62" customFormat="false" ht="14.25" hidden="false" customHeight="false" outlineLevel="0" collapsed="false">
      <c r="A62" s="263" t="n">
        <v>270</v>
      </c>
      <c r="B62" s="263" t="n">
        <f aca="false">B63</f>
        <v>330</v>
      </c>
      <c r="C62" s="263" t="n">
        <f aca="false">C63</f>
        <v>330</v>
      </c>
    </row>
    <row r="63" customFormat="false" ht="14.25" hidden="false" customHeight="false" outlineLevel="0" collapsed="false">
      <c r="A63" s="263" t="n">
        <v>300</v>
      </c>
      <c r="B63" s="263" t="n">
        <f aca="false">B64</f>
        <v>330</v>
      </c>
      <c r="C63" s="263" t="n">
        <f aca="false">C64</f>
        <v>330</v>
      </c>
    </row>
    <row r="64" customFormat="false" ht="14.25" hidden="false" customHeight="false" outlineLevel="0" collapsed="false">
      <c r="A64" s="263" t="n">
        <v>330</v>
      </c>
      <c r="B64" s="263" t="n">
        <v>330</v>
      </c>
      <c r="C64" s="263" t="n">
        <v>330</v>
      </c>
    </row>
    <row r="65" customFormat="false" ht="14.25" hidden="false" customHeight="false" outlineLevel="0" collapsed="false">
      <c r="A65" s="263" t="n">
        <v>360</v>
      </c>
      <c r="B65" s="263" t="n">
        <f aca="false">B66</f>
        <v>470</v>
      </c>
      <c r="C65" s="263" t="n">
        <f aca="false">C66</f>
        <v>470</v>
      </c>
    </row>
    <row r="66" customFormat="false" ht="14.25" hidden="false" customHeight="false" outlineLevel="0" collapsed="false">
      <c r="A66" s="263" t="n">
        <v>390</v>
      </c>
      <c r="B66" s="263" t="n">
        <f aca="false">B67</f>
        <v>470</v>
      </c>
      <c r="C66" s="263" t="n">
        <f aca="false">C67</f>
        <v>470</v>
      </c>
    </row>
    <row r="67" customFormat="false" ht="14.25" hidden="false" customHeight="false" outlineLevel="0" collapsed="false">
      <c r="A67" s="263" t="n">
        <v>430</v>
      </c>
      <c r="B67" s="263" t="n">
        <f aca="false">B68</f>
        <v>470</v>
      </c>
      <c r="C67" s="263" t="n">
        <f aca="false">C68</f>
        <v>470</v>
      </c>
    </row>
    <row r="68" customFormat="false" ht="14.25" hidden="false" customHeight="false" outlineLevel="0" collapsed="false">
      <c r="A68" s="263" t="n">
        <v>470</v>
      </c>
      <c r="B68" s="263" t="n">
        <v>470</v>
      </c>
      <c r="C68" s="263" t="n">
        <v>470</v>
      </c>
    </row>
    <row r="69" customFormat="false" ht="14.25" hidden="false" customHeight="false" outlineLevel="0" collapsed="false">
      <c r="A69" s="263" t="n">
        <v>510</v>
      </c>
      <c r="B69" s="263" t="n">
        <f aca="false">B70</f>
        <v>680</v>
      </c>
      <c r="C69" s="263" t="n">
        <f aca="false">C70</f>
        <v>680</v>
      </c>
    </row>
    <row r="70" customFormat="false" ht="14.25" hidden="false" customHeight="false" outlineLevel="0" collapsed="false">
      <c r="A70" s="263" t="n">
        <v>560</v>
      </c>
      <c r="B70" s="263" t="n">
        <f aca="false">B71</f>
        <v>680</v>
      </c>
      <c r="C70" s="263" t="n">
        <f aca="false">C71</f>
        <v>680</v>
      </c>
    </row>
    <row r="71" customFormat="false" ht="14.25" hidden="false" customHeight="false" outlineLevel="0" collapsed="false">
      <c r="A71" s="263" t="n">
        <v>620</v>
      </c>
      <c r="B71" s="263" t="n">
        <f aca="false">B72</f>
        <v>680</v>
      </c>
      <c r="C71" s="263" t="n">
        <f aca="false">C72</f>
        <v>680</v>
      </c>
    </row>
    <row r="72" customFormat="false" ht="14.25" hidden="false" customHeight="false" outlineLevel="0" collapsed="false">
      <c r="A72" s="263" t="n">
        <v>680</v>
      </c>
      <c r="B72" s="263" t="n">
        <v>680</v>
      </c>
      <c r="C72" s="263" t="n">
        <v>680</v>
      </c>
    </row>
    <row r="73" customFormat="false" ht="14.25" hidden="false" customHeight="false" outlineLevel="0" collapsed="false">
      <c r="A73" s="263" t="n">
        <v>750</v>
      </c>
      <c r="B73" s="263" t="n">
        <f aca="false">B74</f>
        <v>1000</v>
      </c>
      <c r="C73" s="263" t="n">
        <f aca="false">C74</f>
        <v>1000</v>
      </c>
    </row>
    <row r="74" customFormat="false" ht="14.25" hidden="false" customHeight="false" outlineLevel="0" collapsed="false">
      <c r="A74" s="263" t="n">
        <v>820</v>
      </c>
      <c r="B74" s="263" t="n">
        <f aca="false">B75</f>
        <v>1000</v>
      </c>
      <c r="C74" s="263" t="n">
        <f aca="false">C75</f>
        <v>1000</v>
      </c>
    </row>
    <row r="75" customFormat="false" ht="14.25" hidden="false" customHeight="false" outlineLevel="0" collapsed="false">
      <c r="A75" s="263" t="n">
        <v>910</v>
      </c>
      <c r="B75" s="263" t="n">
        <v>1000</v>
      </c>
      <c r="C75" s="263" t="n">
        <v>1000</v>
      </c>
    </row>
  </sheetData>
  <sheetProtection sheet="true" objects="true" scenarios="true"/>
  <hyperlinks>
    <hyperlink ref="A1" r:id="rId1" display="Standard Capacitor Values"/>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28"/>
  <sheetViews>
    <sheetView showFormulas="false" showGridLines="true" showRowColHeaders="true" showZeros="true" rightToLeft="false" tabSelected="false" showOutlineSymbols="true" defaultGridColor="true" view="normal" topLeftCell="C1" colorId="64" zoomScale="107" zoomScaleNormal="107" zoomScalePageLayoutView="100" workbookViewId="0">
      <selection pane="topLeft" activeCell="Q7" activeCellId="0" sqref="Q7"/>
    </sheetView>
  </sheetViews>
  <sheetFormatPr defaultColWidth="8.4453125" defaultRowHeight="14.25" customHeight="false" zeroHeight="false" outlineLevelRow="0" outlineLevelCol="0"/>
  <cols>
    <col collapsed="false" customWidth="true" hidden="false" outlineLevel="0" max="6" min="5" style="141" width="18.73"/>
    <col collapsed="false" customWidth="true" hidden="false" outlineLevel="0" max="7" min="7" style="141" width="9.82"/>
  </cols>
  <sheetData>
    <row r="1" customFormat="false" ht="14.25" hidden="false" customHeight="false" outlineLevel="0" collapsed="false">
      <c r="A1" s="265" t="s">
        <v>235</v>
      </c>
      <c r="B1" s="265" t="s">
        <v>236</v>
      </c>
      <c r="C1" s="265" t="s">
        <v>237</v>
      </c>
      <c r="D1" s="265" t="s">
        <v>238</v>
      </c>
      <c r="E1" s="265" t="s">
        <v>239</v>
      </c>
      <c r="F1" s="265" t="s">
        <v>240</v>
      </c>
      <c r="G1" s="265" t="s">
        <v>241</v>
      </c>
    </row>
    <row r="2" customFormat="false" ht="14.25" hidden="false" customHeight="false" outlineLevel="0" collapsed="false">
      <c r="A2" s="141" t="n">
        <v>25</v>
      </c>
      <c r="B2" s="141" t="n">
        <v>5.353</v>
      </c>
      <c r="C2" s="141" t="n">
        <v>0.273993</v>
      </c>
      <c r="E2" s="141" t="n">
        <v>16</v>
      </c>
      <c r="F2" s="141" t="n">
        <f aca="false">E2*1000</f>
        <v>16000</v>
      </c>
      <c r="G2" s="266" t="n">
        <f aca="false">B2*C2</f>
        <v>1.466684529</v>
      </c>
    </row>
    <row r="3" customFormat="false" ht="14.25" hidden="false" customHeight="false" outlineLevel="0" collapsed="false">
      <c r="A3" s="141" t="n">
        <v>25</v>
      </c>
      <c r="B3" s="141" t="n">
        <v>6.841</v>
      </c>
      <c r="C3" s="141" t="n">
        <v>0.270759</v>
      </c>
      <c r="E3" s="141" t="n">
        <v>16</v>
      </c>
      <c r="F3" s="141" t="n">
        <f aca="false">E3*1000</f>
        <v>16000</v>
      </c>
      <c r="G3" s="266" t="n">
        <f aca="false">B3*C3</f>
        <v>1.852262319</v>
      </c>
    </row>
    <row r="4" customFormat="false" ht="14.25" hidden="false" customHeight="false" outlineLevel="0" collapsed="false">
      <c r="A4" s="141" t="n">
        <v>25</v>
      </c>
      <c r="B4" s="141" t="n">
        <v>8.948176</v>
      </c>
      <c r="C4" s="141" t="n">
        <v>0.261876</v>
      </c>
      <c r="D4" s="141" t="n">
        <v>13894435</v>
      </c>
      <c r="E4" s="141" t="n">
        <v>13.894435</v>
      </c>
      <c r="F4" s="141" t="n">
        <f aca="false">E4*1000</f>
        <v>13894.435</v>
      </c>
      <c r="G4" s="266" t="n">
        <v>2.343313</v>
      </c>
    </row>
    <row r="5" customFormat="false" ht="14.25" hidden="false" customHeight="false" outlineLevel="0" collapsed="false">
      <c r="A5" s="141" t="n">
        <v>25</v>
      </c>
      <c r="B5" s="141" t="n">
        <v>11.915012</v>
      </c>
      <c r="C5" s="141" t="n">
        <v>0.267012</v>
      </c>
      <c r="D5" s="141" t="n">
        <v>2313228</v>
      </c>
      <c r="E5" s="141" t="n">
        <v>2.313228</v>
      </c>
      <c r="F5" s="141" t="n">
        <f aca="false">E5*1000</f>
        <v>2313.228</v>
      </c>
      <c r="G5" s="266" t="n">
        <v>3.181451</v>
      </c>
    </row>
    <row r="6" customFormat="false" ht="14.25" hidden="false" customHeight="false" outlineLevel="0" collapsed="false">
      <c r="A6" s="141" t="n">
        <v>25</v>
      </c>
      <c r="B6" s="141" t="n">
        <v>14.348408</v>
      </c>
      <c r="C6" s="141" t="n">
        <v>0.273357</v>
      </c>
      <c r="D6" s="141" t="n">
        <v>1179238</v>
      </c>
      <c r="E6" s="141" t="n">
        <v>1.179238</v>
      </c>
      <c r="F6" s="141" t="n">
        <f aca="false">E6*1000</f>
        <v>1179.238</v>
      </c>
      <c r="G6" s="266" t="n">
        <v>3.922238</v>
      </c>
    </row>
    <row r="7" customFormat="false" ht="14.25" hidden="false" customHeight="false" outlineLevel="0" collapsed="false">
      <c r="A7" s="141" t="n">
        <v>25</v>
      </c>
      <c r="B7" s="141" t="n">
        <v>17.190396</v>
      </c>
      <c r="C7" s="141" t="n">
        <v>0.284032</v>
      </c>
      <c r="D7" s="141" t="n">
        <v>658129</v>
      </c>
      <c r="E7" s="141" t="n">
        <v>0.658129</v>
      </c>
      <c r="F7" s="141" t="n">
        <f aca="false">E7*1000</f>
        <v>658.129</v>
      </c>
      <c r="G7" s="266" t="n">
        <v>4.882623</v>
      </c>
    </row>
    <row r="8" customFormat="false" ht="14.25" hidden="false" customHeight="false" outlineLevel="0" collapsed="false">
      <c r="A8" s="141" t="n">
        <v>25</v>
      </c>
      <c r="B8" s="141" t="n">
        <v>19.799713</v>
      </c>
      <c r="C8" s="141" t="n">
        <v>0.294506</v>
      </c>
      <c r="D8" s="141" t="n">
        <v>420662</v>
      </c>
      <c r="E8" s="141" t="n">
        <v>0.420662</v>
      </c>
      <c r="F8" s="141" t="n">
        <f aca="false">E8*1000</f>
        <v>420.662</v>
      </c>
      <c r="G8" s="266" t="n">
        <v>5.831134</v>
      </c>
    </row>
    <row r="9" customFormat="false" ht="14.25" hidden="false" customHeight="false" outlineLevel="0" collapsed="false">
      <c r="A9" s="141" t="n">
        <v>25</v>
      </c>
      <c r="B9" s="141" t="n">
        <v>5.31106</v>
      </c>
      <c r="C9" s="141" t="n">
        <v>1.316289</v>
      </c>
      <c r="D9" s="141" t="n">
        <v>130330</v>
      </c>
      <c r="E9" s="141" t="n">
        <v>0.13033</v>
      </c>
      <c r="F9" s="141" t="n">
        <f aca="false">E9*1000</f>
        <v>130.33</v>
      </c>
      <c r="G9" s="266" t="n">
        <v>6.99089</v>
      </c>
    </row>
    <row r="10" customFormat="false" ht="14.25" hidden="false" customHeight="false" outlineLevel="0" collapsed="false">
      <c r="A10" s="141" t="n">
        <v>25</v>
      </c>
      <c r="B10" s="141" t="n">
        <v>6.819721</v>
      </c>
      <c r="C10" s="141" t="n">
        <v>1.203395</v>
      </c>
      <c r="D10" s="141" t="n">
        <v>30506</v>
      </c>
      <c r="E10" s="141" t="n">
        <v>0.030506</v>
      </c>
      <c r="F10" s="141" t="n">
        <f aca="false">E10*1000</f>
        <v>30.506</v>
      </c>
      <c r="G10" s="266" t="n">
        <v>8.206818</v>
      </c>
    </row>
    <row r="11" customFormat="false" ht="14.25" hidden="false" customHeight="false" outlineLevel="0" collapsed="false">
      <c r="A11" s="141" t="n">
        <v>25</v>
      </c>
      <c r="B11" s="141" t="n">
        <v>7.324999</v>
      </c>
      <c r="C11" s="141" t="n">
        <v>1.211452</v>
      </c>
      <c r="D11" s="141" t="n">
        <v>19211</v>
      </c>
      <c r="E11" s="141" t="n">
        <v>0.019211</v>
      </c>
      <c r="F11" s="141" t="n">
        <f aca="false">E11*1000</f>
        <v>19.211</v>
      </c>
      <c r="G11" s="266" t="n">
        <v>8.873885</v>
      </c>
    </row>
    <row r="12" customFormat="false" ht="14.25" hidden="false" customHeight="false" outlineLevel="0" collapsed="false">
      <c r="A12" s="141" t="n">
        <v>25</v>
      </c>
      <c r="B12" s="141" t="n">
        <v>8.772255</v>
      </c>
      <c r="C12" s="141" t="n">
        <v>1.166436</v>
      </c>
      <c r="D12" s="141" t="n">
        <v>6257</v>
      </c>
      <c r="E12" s="141" t="n">
        <v>0.006257</v>
      </c>
      <c r="F12" s="141" t="n">
        <f aca="false">E12*1000</f>
        <v>6.257</v>
      </c>
      <c r="G12" s="266" t="n">
        <v>10.232274</v>
      </c>
    </row>
    <row r="13" customFormat="false" ht="14.25" hidden="false" customHeight="false" outlineLevel="0" collapsed="false">
      <c r="A13" s="141" t="n">
        <v>25</v>
      </c>
      <c r="B13" s="141" t="n">
        <v>16.575237</v>
      </c>
      <c r="C13" s="141" t="n">
        <v>1.215178</v>
      </c>
      <c r="D13" s="141" t="n">
        <v>915</v>
      </c>
      <c r="E13" s="141" t="n">
        <v>0.000915</v>
      </c>
      <c r="F13" s="141" t="n">
        <f aca="false">E13*1000</f>
        <v>0.915</v>
      </c>
      <c r="G13" s="266" t="n">
        <v>20.141863</v>
      </c>
    </row>
    <row r="14" customFormat="false" ht="14.25" hidden="false" customHeight="false" outlineLevel="0" collapsed="false">
      <c r="A14" s="141" t="n">
        <v>25</v>
      </c>
      <c r="B14" s="141" t="n">
        <v>6.856617</v>
      </c>
      <c r="C14" s="141" t="n">
        <v>4.703418</v>
      </c>
      <c r="D14" s="141" t="n">
        <v>323</v>
      </c>
      <c r="E14" s="141" t="n">
        <v>0.000323</v>
      </c>
      <c r="F14" s="141" t="n">
        <f aca="false">E14*1000</f>
        <v>0.323</v>
      </c>
      <c r="G14" s="266" t="n">
        <v>32.249536</v>
      </c>
    </row>
    <row r="15" customFormat="false" ht="14.25" hidden="false" customHeight="false" outlineLevel="0" collapsed="false">
      <c r="A15" s="141" t="n">
        <v>25</v>
      </c>
      <c r="B15" s="141" t="n">
        <v>9.189927</v>
      </c>
      <c r="C15" s="141" t="n">
        <v>4.426471</v>
      </c>
      <c r="D15" s="141" t="n">
        <v>209</v>
      </c>
      <c r="E15" s="141" t="n">
        <v>0.000209</v>
      </c>
      <c r="F15" s="141" t="n">
        <f aca="false">E15*1000</f>
        <v>0.209</v>
      </c>
      <c r="G15" s="266" t="n">
        <v>40.678945</v>
      </c>
    </row>
    <row r="16" customFormat="false" ht="14.25" hidden="false" customHeight="false" outlineLevel="0" collapsed="false">
      <c r="A16" s="141" t="n">
        <v>25</v>
      </c>
      <c r="B16" s="141" t="n">
        <v>12.114768</v>
      </c>
      <c r="C16" s="141" t="n">
        <v>4.225055</v>
      </c>
      <c r="D16" s="141" t="n">
        <v>146</v>
      </c>
      <c r="E16" s="141" t="n">
        <v>0.000146</v>
      </c>
      <c r="F16" s="141" t="n">
        <f aca="false">E16*1000</f>
        <v>0.146</v>
      </c>
      <c r="G16" s="266" t="n">
        <v>51.185561</v>
      </c>
    </row>
    <row r="17" customFormat="false" ht="14.25" hidden="false" customHeight="false" outlineLevel="0" collapsed="false">
      <c r="A17" s="141" t="n">
        <v>25</v>
      </c>
      <c r="B17" s="141" t="n">
        <v>14.038558</v>
      </c>
      <c r="C17" s="141" t="n">
        <v>4.48891</v>
      </c>
      <c r="D17" s="141" t="n">
        <v>122</v>
      </c>
      <c r="E17" s="141" t="n">
        <v>0.000122</v>
      </c>
      <c r="F17" s="141" t="n">
        <f aca="false">E17*1000</f>
        <v>0.122</v>
      </c>
      <c r="G17" s="266" t="n">
        <v>63.017823</v>
      </c>
    </row>
    <row r="18" customFormat="false" ht="14.25" hidden="false" customHeight="false" outlineLevel="0" collapsed="false">
      <c r="A18" s="141" t="n">
        <v>25</v>
      </c>
      <c r="B18" s="141" t="n">
        <v>15.945323</v>
      </c>
      <c r="C18" s="141" t="n">
        <v>4.56142</v>
      </c>
      <c r="D18" s="141" t="n">
        <v>105</v>
      </c>
      <c r="E18" s="141" t="n">
        <v>0.000105</v>
      </c>
      <c r="F18" s="141" t="n">
        <f aca="false">E18*1000</f>
        <v>0.105</v>
      </c>
      <c r="G18" s="266" t="n">
        <v>72.733315</v>
      </c>
    </row>
    <row r="19" customFormat="false" ht="14.25" hidden="false" customHeight="false" outlineLevel="0" collapsed="false">
      <c r="A19" s="141" t="n">
        <v>25</v>
      </c>
      <c r="B19" s="141" t="n">
        <v>17.325458</v>
      </c>
      <c r="C19" s="141" t="n">
        <v>4.605731</v>
      </c>
      <c r="D19" s="141" t="n">
        <v>98</v>
      </c>
      <c r="E19" s="141" t="n">
        <v>9.8E-005</v>
      </c>
      <c r="F19" s="141" t="n">
        <f aca="false">E19*1000</f>
        <v>0.098</v>
      </c>
      <c r="G19" s="266" t="n">
        <v>79.796399</v>
      </c>
    </row>
    <row r="20" customFormat="false" ht="14.25" hidden="false" customHeight="false" outlineLevel="0" collapsed="false">
      <c r="A20" s="141" t="n">
        <v>25</v>
      </c>
      <c r="B20" s="141" t="n">
        <v>17.806689</v>
      </c>
      <c r="C20" s="141" t="n">
        <v>4.636951</v>
      </c>
      <c r="D20" s="141" t="n">
        <v>95</v>
      </c>
      <c r="E20" s="141" t="n">
        <v>9.5E-005</v>
      </c>
      <c r="F20" s="141" t="n">
        <f aca="false">E20*1000</f>
        <v>0.095</v>
      </c>
      <c r="G20" s="266" t="n">
        <v>82.568744</v>
      </c>
    </row>
    <row r="21" customFormat="false" ht="14.25" hidden="false" customHeight="false" outlineLevel="0" collapsed="false">
      <c r="A21" s="141" t="n">
        <v>25</v>
      </c>
      <c r="B21" s="141" t="n">
        <v>19.580662</v>
      </c>
      <c r="C21" s="141" t="n">
        <v>4.680255</v>
      </c>
      <c r="D21" s="141" t="n">
        <v>87</v>
      </c>
      <c r="E21" s="141" t="n">
        <v>8.7E-005</v>
      </c>
      <c r="F21" s="141" t="n">
        <f aca="false">E21*1000</f>
        <v>0.087</v>
      </c>
      <c r="G21" s="266" t="n">
        <v>91.642491</v>
      </c>
    </row>
    <row r="24" customFormat="false" ht="14.25" hidden="false" customHeight="false" outlineLevel="0" collapsed="false">
      <c r="L24" s="267"/>
      <c r="M24" s="267"/>
    </row>
    <row r="25" customFormat="false" ht="14.25" hidden="false" customHeight="false" outlineLevel="0" collapsed="false">
      <c r="L25" s="267"/>
      <c r="M25" s="267"/>
    </row>
    <row r="28" customFormat="false" ht="14.25" hidden="false" customHeight="false" outlineLevel="0" collapsed="false">
      <c r="J28" s="253"/>
    </row>
  </sheetData>
  <sheetProtection algorithmName="SHA-512" hashValue="8u2E4HtWTt+EB7KIEYzJiZ8iHWUCha9/xoAJ7/ZoJC6S2W8EXACPcPWxmi6y9luSymJ7Prrvb7Lgjt3aLWrHmQ==" saltValue="v8a0I2U2UeoljA7eFxzwSg==" spinCount="100000" sheet="true" objects="true" scenarios="true"/>
  <autoFilter ref="A1:G21">
    <sortState ref="A2:G21">
      <sortCondition ref="A2:A21" customList=""/>
    </sortState>
  </autoFilter>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Z63"/>
  <sheetViews>
    <sheetView showFormulas="false" showGridLines="true" showRowColHeaders="true" showZeros="true" rightToLeft="false" tabSelected="false" showOutlineSymbols="true" defaultGridColor="true" view="normal" topLeftCell="F28" colorId="64" zoomScale="105" zoomScaleNormal="105" zoomScalePageLayoutView="100" workbookViewId="0">
      <selection pane="topLeft" activeCell="R36" activeCellId="0" sqref="R36"/>
    </sheetView>
  </sheetViews>
  <sheetFormatPr defaultColWidth="8.4453125" defaultRowHeight="14.25" customHeight="false" zeroHeight="false" outlineLevelRow="0" outlineLevelCol="0"/>
  <cols>
    <col collapsed="false" customWidth="true" hidden="false" outlineLevel="0" max="5" min="5" style="141" width="9.82"/>
    <col collapsed="false" customWidth="true" hidden="false" outlineLevel="0" max="7" min="6" style="141" width="18.73"/>
    <col collapsed="false" customWidth="true" hidden="false" outlineLevel="0" max="8" min="8" style="141" width="20"/>
  </cols>
  <sheetData>
    <row r="1" customFormat="false" ht="14.25" hidden="false" customHeight="false" outlineLevel="0" collapsed="false">
      <c r="B1" s="141" t="s">
        <v>236</v>
      </c>
      <c r="C1" s="141" t="s">
        <v>237</v>
      </c>
      <c r="D1" s="141" t="s">
        <v>238</v>
      </c>
      <c r="E1" s="141" t="s">
        <v>241</v>
      </c>
      <c r="F1" s="141" t="s">
        <v>239</v>
      </c>
      <c r="G1" s="141" t="s">
        <v>242</v>
      </c>
      <c r="H1" s="141" t="s">
        <v>243</v>
      </c>
      <c r="S1" s="141" t="n">
        <v>-40</v>
      </c>
      <c r="U1" s="141" t="n">
        <v>25</v>
      </c>
      <c r="W1" s="141" t="n">
        <v>85</v>
      </c>
      <c r="Y1" s="141" t="n">
        <v>125</v>
      </c>
    </row>
    <row r="2" customFormat="false" ht="14.25" hidden="false" customHeight="false" outlineLevel="0" collapsed="false">
      <c r="S2" s="141" t="n">
        <v>4.501844</v>
      </c>
      <c r="T2" s="141" t="n">
        <v>2031.01</v>
      </c>
      <c r="U2" s="141" t="n">
        <v>2.137698</v>
      </c>
      <c r="V2" s="141" t="n">
        <v>23021.011</v>
      </c>
      <c r="W2" s="141" t="n">
        <v>1.327849</v>
      </c>
      <c r="X2" s="141" t="n">
        <v>20761.422</v>
      </c>
      <c r="Y2" s="141" t="n">
        <v>1.039117</v>
      </c>
      <c r="Z2" s="141" t="n">
        <v>782.365</v>
      </c>
    </row>
    <row r="3" customFormat="false" ht="14.25" hidden="false" customHeight="false" outlineLevel="0" collapsed="false">
      <c r="B3" s="141" t="n">
        <v>2.758</v>
      </c>
      <c r="C3" s="141" t="n">
        <v>0.34</v>
      </c>
      <c r="E3" s="141" t="n">
        <f aca="false">B3*C3</f>
        <v>0.93772</v>
      </c>
      <c r="H3" s="141" t="n">
        <v>25</v>
      </c>
      <c r="S3" s="141" t="n">
        <v>4.841949</v>
      </c>
      <c r="T3" s="141" t="n">
        <v>1365.979</v>
      </c>
      <c r="U3" s="141" t="n">
        <v>2.158971</v>
      </c>
      <c r="V3" s="141" t="n">
        <v>19870.804</v>
      </c>
      <c r="W3" s="141" t="n">
        <v>1.345315</v>
      </c>
      <c r="X3" s="141" t="n">
        <v>14738.653</v>
      </c>
      <c r="Y3" s="141" t="n">
        <v>1.138524</v>
      </c>
      <c r="Z3" s="141" t="n">
        <v>583.23</v>
      </c>
    </row>
    <row r="4" customFormat="false" ht="14.25" hidden="false" customHeight="false" outlineLevel="0" collapsed="false">
      <c r="B4" s="141" t="n">
        <v>2.771344</v>
      </c>
      <c r="C4" s="141" t="n">
        <v>0.771358</v>
      </c>
      <c r="D4" s="141" t="n">
        <v>23021011</v>
      </c>
      <c r="E4" s="141" t="n">
        <v>2.137698</v>
      </c>
      <c r="F4" s="141" t="n">
        <v>23.021011</v>
      </c>
      <c r="G4" s="141" t="n">
        <f aca="false">1000*F4</f>
        <v>23021.011</v>
      </c>
      <c r="H4" s="141" t="n">
        <v>25</v>
      </c>
      <c r="S4" s="141" t="n">
        <v>5.258393</v>
      </c>
      <c r="T4" s="141" t="n">
        <v>936.735</v>
      </c>
      <c r="U4" s="141" t="n">
        <v>2.257254</v>
      </c>
      <c r="V4" s="141" t="n">
        <v>9809.087</v>
      </c>
      <c r="W4" s="141" t="n">
        <v>1.368246</v>
      </c>
      <c r="X4" s="141" t="n">
        <v>11355.892</v>
      </c>
      <c r="Y4" s="141" t="n">
        <v>1.253053</v>
      </c>
      <c r="Z4" s="141" t="n">
        <v>441.813</v>
      </c>
    </row>
    <row r="5" customFormat="false" ht="14.25" hidden="false" customHeight="false" outlineLevel="0" collapsed="false">
      <c r="B5" s="141" t="n">
        <v>2.869735</v>
      </c>
      <c r="C5" s="141" t="n">
        <v>0.752324</v>
      </c>
      <c r="D5" s="141" t="n">
        <v>19870804</v>
      </c>
      <c r="E5" s="141" t="n">
        <v>2.158971</v>
      </c>
      <c r="F5" s="141" t="n">
        <v>19.870804</v>
      </c>
      <c r="G5" s="141" t="n">
        <f aca="false">1000*F5</f>
        <v>19870.804</v>
      </c>
      <c r="H5" s="141" t="n">
        <v>25</v>
      </c>
      <c r="S5" s="141" t="n">
        <v>5.944164</v>
      </c>
      <c r="T5" s="141" t="n">
        <v>673.948</v>
      </c>
      <c r="U5" s="141" t="n">
        <v>2.336822</v>
      </c>
      <c r="V5" s="141" t="n">
        <v>7830.796</v>
      </c>
      <c r="W5" s="141" t="n">
        <v>2.116723</v>
      </c>
      <c r="X5" s="141" t="n">
        <v>780.52</v>
      </c>
      <c r="Y5" s="141" t="n">
        <v>1.37079</v>
      </c>
      <c r="Z5" s="141" t="n">
        <v>344.156</v>
      </c>
    </row>
    <row r="6" customFormat="false" ht="14.25" hidden="false" customHeight="false" outlineLevel="0" collapsed="false">
      <c r="B6" s="141" t="n">
        <v>3.197705</v>
      </c>
      <c r="C6" s="141" t="n">
        <v>0.705898</v>
      </c>
      <c r="D6" s="141" t="n">
        <v>9809087</v>
      </c>
      <c r="E6" s="141" t="n">
        <v>2.257254</v>
      </c>
      <c r="F6" s="141" t="n">
        <v>9.809087</v>
      </c>
      <c r="G6" s="141" t="n">
        <f aca="false">1000*F6</f>
        <v>9809.087</v>
      </c>
      <c r="H6" s="141" t="n">
        <v>25</v>
      </c>
      <c r="S6" s="141" t="n">
        <v>6.450255</v>
      </c>
      <c r="T6" s="141" t="n">
        <v>505.132</v>
      </c>
      <c r="U6" s="141" t="n">
        <v>4.555052</v>
      </c>
      <c r="V6" s="141" t="n">
        <v>497.695</v>
      </c>
      <c r="W6" s="141" t="n">
        <v>2.151375</v>
      </c>
      <c r="X6" s="141" t="n">
        <v>750.427</v>
      </c>
      <c r="Y6" s="141" t="n">
        <v>4.087796</v>
      </c>
      <c r="Z6" s="141" t="n">
        <v>12.623</v>
      </c>
    </row>
    <row r="7" customFormat="false" ht="14.25" hidden="false" customHeight="false" outlineLevel="0" collapsed="false">
      <c r="B7" s="141" t="n">
        <v>3.401661</v>
      </c>
      <c r="C7" s="141" t="n">
        <v>0.686965</v>
      </c>
      <c r="D7" s="141" t="n">
        <v>7830796</v>
      </c>
      <c r="E7" s="141" t="n">
        <v>2.336822</v>
      </c>
      <c r="F7" s="141" t="n">
        <v>7.830796</v>
      </c>
      <c r="G7" s="141" t="n">
        <f aca="false">1000*F7</f>
        <v>7830.796</v>
      </c>
      <c r="H7" s="141" t="n">
        <v>25</v>
      </c>
      <c r="S7" s="141" t="n">
        <v>14.795442</v>
      </c>
      <c r="T7" s="141" t="n">
        <v>36.134</v>
      </c>
      <c r="U7" s="141" t="n">
        <v>4.837825</v>
      </c>
      <c r="V7" s="141" t="n">
        <v>375.974</v>
      </c>
      <c r="W7" s="141" t="n">
        <v>2.597</v>
      </c>
      <c r="X7" s="141" t="n">
        <v>405.905</v>
      </c>
      <c r="Y7" s="141" t="n">
        <v>4.623383</v>
      </c>
      <c r="Z7" s="141" t="n">
        <v>10.184</v>
      </c>
    </row>
    <row r="8" customFormat="false" ht="14.25" hidden="false" customHeight="false" outlineLevel="0" collapsed="false">
      <c r="B8" s="141" t="n">
        <v>2.608384</v>
      </c>
      <c r="C8" s="141" t="n">
        <v>1.746312</v>
      </c>
      <c r="D8" s="141" t="n">
        <v>497695</v>
      </c>
      <c r="E8" s="141" t="n">
        <v>4.555052</v>
      </c>
      <c r="F8" s="141" t="n">
        <v>0.497695</v>
      </c>
      <c r="G8" s="141" t="n">
        <f aca="false">1000*F8</f>
        <v>497.695</v>
      </c>
      <c r="H8" s="141" t="n">
        <v>25</v>
      </c>
      <c r="S8" s="141" t="n">
        <v>18.052777</v>
      </c>
      <c r="T8" s="141" t="n">
        <v>28.509</v>
      </c>
      <c r="U8" s="141" t="n">
        <v>5.345233</v>
      </c>
      <c r="V8" s="141" t="n">
        <v>281.928</v>
      </c>
      <c r="W8" s="141" t="n">
        <v>4.84294</v>
      </c>
      <c r="X8" s="141" t="n">
        <v>73.719</v>
      </c>
      <c r="Y8" s="141" t="n">
        <v>5.023212</v>
      </c>
      <c r="Z8" s="141" t="n">
        <v>8.007</v>
      </c>
    </row>
    <row r="9" customFormat="false" ht="14.25" hidden="false" customHeight="false" outlineLevel="0" collapsed="false">
      <c r="B9" s="141" t="n">
        <v>3.262274</v>
      </c>
      <c r="C9" s="141" t="n">
        <v>1.482961</v>
      </c>
      <c r="D9" s="141" t="n">
        <v>375974</v>
      </c>
      <c r="E9" s="141" t="n">
        <v>4.837825</v>
      </c>
      <c r="F9" s="141" t="n">
        <v>0.375974</v>
      </c>
      <c r="G9" s="141" t="n">
        <f aca="false">1000*F9</f>
        <v>375.974</v>
      </c>
      <c r="H9" s="141" t="n">
        <v>25</v>
      </c>
      <c r="S9" s="141" t="n">
        <v>19.983069</v>
      </c>
      <c r="T9" s="141" t="n">
        <v>22.233</v>
      </c>
      <c r="U9" s="141" t="n">
        <v>5.872415</v>
      </c>
      <c r="V9" s="141" t="n">
        <v>220.768</v>
      </c>
      <c r="W9" s="141" t="n">
        <v>5.387815</v>
      </c>
      <c r="X9" s="141" t="n">
        <v>56.153</v>
      </c>
      <c r="Y9" s="141" t="n">
        <v>5.531954</v>
      </c>
      <c r="Z9" s="141" t="n">
        <v>6.375</v>
      </c>
    </row>
    <row r="10" customFormat="false" ht="14.25" hidden="false" customHeight="false" outlineLevel="0" collapsed="false">
      <c r="B10" s="141" t="n">
        <v>3.781901</v>
      </c>
      <c r="C10" s="141" t="n">
        <v>1.413372</v>
      </c>
      <c r="D10" s="141" t="n">
        <v>281928</v>
      </c>
      <c r="E10" s="141" t="n">
        <v>5.345233</v>
      </c>
      <c r="F10" s="141" t="n">
        <v>0.281928</v>
      </c>
      <c r="G10" s="141" t="n">
        <f aca="false">1000*F10</f>
        <v>281.928</v>
      </c>
      <c r="H10" s="141" t="n">
        <v>25</v>
      </c>
      <c r="S10" s="141" t="n">
        <v>22.382984</v>
      </c>
      <c r="T10" s="141" t="n">
        <v>17.659</v>
      </c>
      <c r="U10" s="141" t="n">
        <v>6.308521</v>
      </c>
      <c r="V10" s="141" t="n">
        <v>169.961</v>
      </c>
      <c r="W10" s="141" t="n">
        <v>5.875319</v>
      </c>
      <c r="X10" s="141" t="n">
        <v>43.491</v>
      </c>
      <c r="Y10" s="141" t="n">
        <v>6.107995</v>
      </c>
      <c r="Z10" s="141" t="n">
        <v>5.148</v>
      </c>
    </row>
    <row r="11" customFormat="false" ht="14.25" hidden="false" customHeight="false" outlineLevel="0" collapsed="false">
      <c r="B11" s="141" t="n">
        <v>4.295379</v>
      </c>
      <c r="C11" s="141" t="n">
        <v>1.367147</v>
      </c>
      <c r="D11" s="141" t="n">
        <v>220768</v>
      </c>
      <c r="E11" s="141" t="n">
        <v>5.872415</v>
      </c>
      <c r="F11" s="141" t="n">
        <v>0.220768</v>
      </c>
      <c r="G11" s="141" t="n">
        <f aca="false">1000*F11</f>
        <v>220.768</v>
      </c>
      <c r="H11" s="141" t="n">
        <v>25</v>
      </c>
      <c r="U11" s="141" t="n">
        <v>17.054611</v>
      </c>
      <c r="V11" s="141" t="n">
        <v>14.929</v>
      </c>
      <c r="W11" s="141" t="n">
        <v>6.403435</v>
      </c>
      <c r="X11" s="141" t="n">
        <v>34.578</v>
      </c>
      <c r="Y11" s="141" t="n">
        <v>16.830774</v>
      </c>
      <c r="Z11" s="141" t="n">
        <v>0.625</v>
      </c>
    </row>
    <row r="12" customFormat="false" ht="14.25" hidden="false" customHeight="false" outlineLevel="0" collapsed="false">
      <c r="B12" s="141" t="n">
        <v>4.799632</v>
      </c>
      <c r="C12" s="141" t="n">
        <v>1.314376</v>
      </c>
      <c r="D12" s="141" t="n">
        <v>169961</v>
      </c>
      <c r="E12" s="141" t="n">
        <v>6.308521</v>
      </c>
      <c r="F12" s="141" t="n">
        <v>0.169961</v>
      </c>
      <c r="G12" s="141" t="n">
        <f aca="false">1000*F12</f>
        <v>169.961</v>
      </c>
      <c r="H12" s="141" t="n">
        <v>25</v>
      </c>
      <c r="U12" s="141" t="n">
        <v>18.871649</v>
      </c>
      <c r="V12" s="141" t="n">
        <v>11.42</v>
      </c>
      <c r="W12" s="141" t="n">
        <v>16.844407</v>
      </c>
      <c r="X12" s="141" t="n">
        <v>3.718</v>
      </c>
      <c r="Y12" s="141" t="n">
        <v>18.476971</v>
      </c>
      <c r="Z12" s="141" t="n">
        <v>0.501</v>
      </c>
    </row>
    <row r="13" customFormat="false" ht="14.25" hidden="false" customHeight="false" outlineLevel="0" collapsed="false">
      <c r="B13" s="141" t="n">
        <v>3.205904</v>
      </c>
      <c r="C13" s="141" t="n">
        <v>5.319751</v>
      </c>
      <c r="D13" s="141" t="n">
        <v>14929</v>
      </c>
      <c r="E13" s="141" t="n">
        <v>17.054611</v>
      </c>
      <c r="F13" s="141" t="n">
        <v>0.014929</v>
      </c>
      <c r="G13" s="141" t="n">
        <f aca="false">1000*F13</f>
        <v>14.929</v>
      </c>
      <c r="H13" s="141" t="n">
        <v>25</v>
      </c>
      <c r="U13" s="141" t="n">
        <v>20.611383</v>
      </c>
      <c r="V13" s="141" t="n">
        <v>9.084</v>
      </c>
      <c r="W13" s="141" t="n">
        <v>18.913537</v>
      </c>
      <c r="X13" s="141" t="n">
        <v>2.879</v>
      </c>
      <c r="Y13" s="141" t="n">
        <v>21.184594</v>
      </c>
      <c r="Z13" s="141" t="n">
        <v>0.404</v>
      </c>
    </row>
    <row r="14" customFormat="false" ht="14.25" hidden="false" customHeight="false" outlineLevel="0" collapsed="false">
      <c r="B14" s="141" t="n">
        <v>3.729631</v>
      </c>
      <c r="C14" s="141" t="n">
        <v>5.059924</v>
      </c>
      <c r="D14" s="141" t="n">
        <v>11420</v>
      </c>
      <c r="E14" s="141" t="n">
        <v>18.871649</v>
      </c>
      <c r="F14" s="141" t="n">
        <v>0.01142</v>
      </c>
      <c r="G14" s="141" t="n">
        <f aca="false">1000*F14</f>
        <v>11.42</v>
      </c>
      <c r="H14" s="141" t="n">
        <v>25</v>
      </c>
      <c r="U14" s="141" t="n">
        <v>23.036022</v>
      </c>
      <c r="V14" s="141" t="n">
        <v>7.226</v>
      </c>
      <c r="W14" s="141" t="n">
        <v>21.181205</v>
      </c>
      <c r="X14" s="141" t="n">
        <v>2.285</v>
      </c>
      <c r="Y14" s="141" t="n">
        <v>23.563647</v>
      </c>
      <c r="Z14" s="141" t="n">
        <v>0.349</v>
      </c>
    </row>
    <row r="15" customFormat="false" ht="14.25" hidden="false" customHeight="false" outlineLevel="0" collapsed="false">
      <c r="B15" s="141" t="n">
        <v>4.225685</v>
      </c>
      <c r="C15" s="141" t="n">
        <v>4.877643</v>
      </c>
      <c r="D15" s="141" t="n">
        <v>9084</v>
      </c>
      <c r="E15" s="141" t="n">
        <v>20.611383</v>
      </c>
      <c r="F15" s="141" t="n">
        <v>0.009084</v>
      </c>
      <c r="G15" s="141" t="n">
        <f aca="false">1000*F15</f>
        <v>9.084</v>
      </c>
      <c r="H15" s="141" t="n">
        <v>25</v>
      </c>
      <c r="W15" s="141" t="n">
        <v>23.257106</v>
      </c>
      <c r="X15" s="141" t="n">
        <v>1.676</v>
      </c>
    </row>
    <row r="16" customFormat="false" ht="14.25" hidden="false" customHeight="false" outlineLevel="0" collapsed="false">
      <c r="B16" s="141" t="n">
        <v>4.745312</v>
      </c>
      <c r="C16" s="141" t="n">
        <v>4.85448</v>
      </c>
      <c r="D16" s="141" t="n">
        <v>7226</v>
      </c>
      <c r="E16" s="141" t="n">
        <v>23.036022</v>
      </c>
      <c r="F16" s="141" t="n">
        <v>0.007226</v>
      </c>
      <c r="G16" s="141" t="n">
        <f aca="false">1000*F16</f>
        <v>7.226</v>
      </c>
      <c r="H16" s="141" t="n">
        <v>25</v>
      </c>
    </row>
    <row r="17" customFormat="false" ht="14.25" hidden="false" customHeight="false" outlineLevel="0" collapsed="false">
      <c r="G17" s="141" t="n">
        <f aca="false">1000*F17</f>
        <v>0</v>
      </c>
    </row>
    <row r="18" customFormat="false" ht="14.25" hidden="false" customHeight="false" outlineLevel="0" collapsed="false">
      <c r="B18" s="141" t="n">
        <v>3.437</v>
      </c>
      <c r="C18" s="141" t="n">
        <v>0.259503</v>
      </c>
      <c r="E18" s="141" t="n">
        <f aca="false">B18*C18</f>
        <v>0.891911811</v>
      </c>
      <c r="G18" s="141" t="n">
        <f aca="false">1000*F18</f>
        <v>0</v>
      </c>
      <c r="H18" s="141" t="n">
        <v>85</v>
      </c>
    </row>
    <row r="19" customFormat="false" ht="14.25" hidden="false" customHeight="false" outlineLevel="0" collapsed="false">
      <c r="B19" s="141" t="n">
        <v>3.935</v>
      </c>
      <c r="C19" s="141" t="n">
        <v>0.242079</v>
      </c>
      <c r="E19" s="141" t="n">
        <f aca="false">B19*C19</f>
        <v>0.952580865</v>
      </c>
      <c r="G19" s="141" t="n">
        <f aca="false">1000*F19</f>
        <v>0</v>
      </c>
      <c r="H19" s="141" t="n">
        <v>85</v>
      </c>
    </row>
    <row r="20" customFormat="false" ht="14.25" hidden="false" customHeight="false" outlineLevel="0" collapsed="false">
      <c r="B20" s="141" t="n">
        <v>4.45</v>
      </c>
      <c r="C20" s="141" t="n">
        <v>0.2747</v>
      </c>
      <c r="E20" s="141" t="n">
        <f aca="false">B20*C20</f>
        <v>1.222415</v>
      </c>
      <c r="G20" s="141" t="n">
        <f aca="false">1000*F20</f>
        <v>0</v>
      </c>
      <c r="H20" s="141" t="n">
        <v>85</v>
      </c>
    </row>
    <row r="21" customFormat="false" ht="14.25" hidden="false" customHeight="false" outlineLevel="0" collapsed="false">
      <c r="B21" s="141" t="n">
        <v>4.785283</v>
      </c>
      <c r="C21" s="141" t="n">
        <v>0.277486</v>
      </c>
      <c r="D21" s="141" t="n">
        <v>20761422</v>
      </c>
      <c r="E21" s="141" t="n">
        <v>1.327849</v>
      </c>
      <c r="F21" s="141" t="n">
        <v>20.761422</v>
      </c>
      <c r="G21" s="141" t="n">
        <f aca="false">1000*F21</f>
        <v>20761.422</v>
      </c>
      <c r="H21" s="141" t="n">
        <v>85</v>
      </c>
    </row>
    <row r="22" customFormat="false" ht="14.25" hidden="false" customHeight="false" outlineLevel="0" collapsed="false">
      <c r="B22" s="141" t="n">
        <v>4.883674</v>
      </c>
      <c r="C22" s="141" t="n">
        <v>0.275472</v>
      </c>
      <c r="D22" s="141" t="n">
        <v>14738653</v>
      </c>
      <c r="E22" s="141" t="n">
        <v>1.345315</v>
      </c>
      <c r="F22" s="141" t="n">
        <v>14.738653</v>
      </c>
      <c r="G22" s="141" t="n">
        <f aca="false">1000*F22</f>
        <v>14738.653</v>
      </c>
      <c r="H22" s="141" t="n">
        <v>85</v>
      </c>
    </row>
    <row r="23" customFormat="false" ht="14.25" hidden="false" customHeight="false" outlineLevel="0" collapsed="false">
      <c r="B23" s="141" t="n">
        <v>4.98514</v>
      </c>
      <c r="C23" s="141" t="n">
        <v>0.274465</v>
      </c>
      <c r="D23" s="141" t="n">
        <v>11355892</v>
      </c>
      <c r="E23" s="141" t="n">
        <v>1.368246</v>
      </c>
      <c r="F23" s="141" t="n">
        <v>11.355892</v>
      </c>
      <c r="G23" s="141" t="n">
        <f aca="false">1000*F23</f>
        <v>11355.892</v>
      </c>
      <c r="H23" s="141" t="n">
        <v>85</v>
      </c>
    </row>
    <row r="24" customFormat="false" ht="14.25" hidden="false" customHeight="false" outlineLevel="0" collapsed="false">
      <c r="B24" s="141" t="n">
        <v>2.561239</v>
      </c>
      <c r="C24" s="141" t="n">
        <v>0.826445</v>
      </c>
      <c r="D24" s="141" t="n">
        <v>780520</v>
      </c>
      <c r="E24" s="141" t="n">
        <v>2.116723</v>
      </c>
      <c r="F24" s="141" t="n">
        <v>0.78052</v>
      </c>
      <c r="G24" s="141" t="n">
        <f aca="false">1000*F24</f>
        <v>780.52</v>
      </c>
      <c r="H24" s="141" t="n">
        <v>85</v>
      </c>
    </row>
    <row r="25" customFormat="false" ht="14.25" hidden="false" customHeight="false" outlineLevel="0" collapsed="false">
      <c r="B25" s="141" t="n">
        <v>2.771344</v>
      </c>
      <c r="C25" s="141" t="n">
        <v>0.776293</v>
      </c>
      <c r="D25" s="141" t="n">
        <v>750427</v>
      </c>
      <c r="E25" s="141" t="n">
        <v>2.151375</v>
      </c>
      <c r="F25" s="141" t="n">
        <v>0.750427</v>
      </c>
      <c r="G25" s="141" t="n">
        <f aca="false">1000*F25</f>
        <v>750.427</v>
      </c>
      <c r="H25" s="141" t="n">
        <v>85</v>
      </c>
    </row>
    <row r="26" customFormat="false" ht="14.25" hidden="false" customHeight="false" outlineLevel="0" collapsed="false">
      <c r="B26" s="141" t="n">
        <v>3.90284</v>
      </c>
      <c r="C26" s="141" t="n">
        <v>0.665413</v>
      </c>
      <c r="D26" s="141" t="n">
        <v>405905</v>
      </c>
      <c r="E26" s="141" t="n">
        <v>2.597</v>
      </c>
      <c r="F26" s="141" t="n">
        <v>0.405905</v>
      </c>
      <c r="G26" s="141" t="n">
        <f aca="false">1000*F26</f>
        <v>405.905</v>
      </c>
      <c r="H26" s="141" t="n">
        <v>85</v>
      </c>
    </row>
    <row r="27" customFormat="false" ht="14.25" hidden="false" customHeight="false" outlineLevel="0" collapsed="false">
      <c r="B27" s="141" t="n">
        <v>3.228452</v>
      </c>
      <c r="C27" s="141" t="n">
        <v>1.500081</v>
      </c>
      <c r="D27" s="141" t="n">
        <v>73719</v>
      </c>
      <c r="E27" s="141" t="n">
        <v>4.84294</v>
      </c>
      <c r="F27" s="141" t="n">
        <v>0.073719</v>
      </c>
      <c r="G27" s="141" t="n">
        <f aca="false">1000*F27</f>
        <v>73.719</v>
      </c>
      <c r="H27" s="141" t="n">
        <v>85</v>
      </c>
    </row>
    <row r="28" customFormat="false" ht="14.25" hidden="false" customHeight="false" outlineLevel="0" collapsed="false">
      <c r="B28" s="141" t="n">
        <v>3.742955</v>
      </c>
      <c r="C28" s="141" t="n">
        <v>1.439455</v>
      </c>
      <c r="D28" s="141" t="n">
        <v>56153</v>
      </c>
      <c r="E28" s="141" t="n">
        <v>5.387815</v>
      </c>
      <c r="F28" s="141" t="n">
        <v>0.056153</v>
      </c>
      <c r="G28" s="141" t="n">
        <f aca="false">1000*F28</f>
        <v>56.153</v>
      </c>
      <c r="H28" s="141" t="n">
        <v>85</v>
      </c>
    </row>
    <row r="29" customFormat="false" ht="14.25" hidden="false" customHeight="false" outlineLevel="0" collapsed="false">
      <c r="B29" s="141" t="n">
        <v>4.256432</v>
      </c>
      <c r="C29" s="141" t="n">
        <v>1.380339</v>
      </c>
      <c r="D29" s="141" t="n">
        <v>43491</v>
      </c>
      <c r="E29" s="141" t="n">
        <v>5.875319</v>
      </c>
      <c r="F29" s="141" t="n">
        <v>0.043491</v>
      </c>
      <c r="G29" s="141" t="n">
        <f aca="false">1000*F29</f>
        <v>43.491</v>
      </c>
      <c r="H29" s="141" t="n">
        <v>85</v>
      </c>
    </row>
    <row r="30" customFormat="false" ht="14.25" hidden="false" customHeight="false" outlineLevel="0" collapsed="false">
      <c r="B30" s="141" t="n">
        <v>4.762735</v>
      </c>
      <c r="C30" s="141" t="n">
        <v>1.344487</v>
      </c>
      <c r="D30" s="141" t="n">
        <v>34578</v>
      </c>
      <c r="E30" s="141" t="n">
        <v>6.403435</v>
      </c>
      <c r="F30" s="141" t="n">
        <v>0.034578</v>
      </c>
      <c r="G30" s="141" t="n">
        <f aca="false">1000*F30</f>
        <v>34.578</v>
      </c>
      <c r="H30" s="141" t="n">
        <v>85</v>
      </c>
    </row>
    <row r="31" customFormat="false" ht="14.25" hidden="false" customHeight="false" outlineLevel="0" collapsed="false">
      <c r="B31" s="141" t="n">
        <v>3.148509</v>
      </c>
      <c r="C31" s="141" t="n">
        <v>5.349963</v>
      </c>
      <c r="D31" s="141" t="n">
        <v>3718</v>
      </c>
      <c r="E31" s="141" t="n">
        <v>16.844407</v>
      </c>
      <c r="F31" s="141" t="n">
        <v>0.003718</v>
      </c>
      <c r="G31" s="141" t="n">
        <f aca="false">1000*F31</f>
        <v>3.718</v>
      </c>
      <c r="H31" s="141" t="n">
        <v>85</v>
      </c>
    </row>
    <row r="32" customFormat="false" ht="14.25" hidden="false" customHeight="false" outlineLevel="0" collapsed="false">
      <c r="B32" s="141" t="n">
        <v>3.667112</v>
      </c>
      <c r="C32" s="141" t="n">
        <v>5.157611</v>
      </c>
      <c r="D32" s="141" t="n">
        <v>2879</v>
      </c>
      <c r="E32" s="141" t="n">
        <v>18.913537</v>
      </c>
      <c r="F32" s="141" t="n">
        <v>0.002879</v>
      </c>
      <c r="G32" s="141" t="n">
        <f aca="false">1000*F32</f>
        <v>2.879</v>
      </c>
      <c r="H32" s="141" t="n">
        <v>85</v>
      </c>
    </row>
    <row r="33" customFormat="false" ht="14.25" hidden="false" customHeight="false" outlineLevel="0" collapsed="false">
      <c r="B33" s="141" t="n">
        <v>4.17444</v>
      </c>
      <c r="C33" s="141" t="n">
        <v>5.074023</v>
      </c>
      <c r="D33" s="141" t="n">
        <v>2285</v>
      </c>
      <c r="E33" s="141" t="n">
        <v>21.181205</v>
      </c>
      <c r="F33" s="141" t="n">
        <v>0.002285</v>
      </c>
      <c r="G33" s="141" t="n">
        <f aca="false">1000*F33</f>
        <v>2.285</v>
      </c>
      <c r="H33" s="141" t="n">
        <v>85</v>
      </c>
    </row>
    <row r="34" customFormat="false" ht="14.25" hidden="false" customHeight="false" outlineLevel="0" collapsed="false">
      <c r="B34" s="141" t="n">
        <v>4.685867</v>
      </c>
      <c r="C34" s="141" t="n">
        <v>4.963245</v>
      </c>
      <c r="D34" s="141" t="n">
        <v>1676</v>
      </c>
      <c r="E34" s="141" t="n">
        <v>23.257106</v>
      </c>
      <c r="F34" s="141" t="n">
        <v>0.001676</v>
      </c>
      <c r="G34" s="141" t="n">
        <f aca="false">1000*F34</f>
        <v>1.676</v>
      </c>
      <c r="H34" s="141" t="n">
        <v>85</v>
      </c>
    </row>
    <row r="35" customFormat="false" ht="14.25" hidden="false" customHeight="false" outlineLevel="0" collapsed="false">
      <c r="G35" s="141" t="n">
        <f aca="false">1000*F35</f>
        <v>0</v>
      </c>
    </row>
    <row r="36" customFormat="false" ht="14.25" hidden="false" customHeight="false" outlineLevel="0" collapsed="false">
      <c r="B36" s="141" t="n">
        <v>2.957877</v>
      </c>
      <c r="C36" s="141" t="n">
        <v>0.351305</v>
      </c>
      <c r="D36" s="141" t="n">
        <v>782365</v>
      </c>
      <c r="E36" s="141" t="n">
        <v>1.039117</v>
      </c>
      <c r="F36" s="141" t="n">
        <v>0.782365</v>
      </c>
      <c r="G36" s="141" t="n">
        <f aca="false">1000*F36</f>
        <v>782.365</v>
      </c>
      <c r="H36" s="141" t="n">
        <v>125</v>
      </c>
    </row>
    <row r="37" customFormat="false" ht="14.25" hidden="false" customHeight="false" outlineLevel="0" collapsed="false">
      <c r="B37" s="141" t="n">
        <v>3.461106</v>
      </c>
      <c r="C37" s="141" t="n">
        <v>0.328948</v>
      </c>
      <c r="D37" s="141" t="n">
        <v>583230</v>
      </c>
      <c r="E37" s="141" t="n">
        <v>1.138524</v>
      </c>
      <c r="F37" s="141" t="n">
        <v>0.58323</v>
      </c>
      <c r="G37" s="141" t="n">
        <f aca="false">1000*F37</f>
        <v>583.23</v>
      </c>
      <c r="H37" s="141" t="n">
        <v>125</v>
      </c>
    </row>
    <row r="38" customFormat="false" ht="14.25" hidden="false" customHeight="false" outlineLevel="0" collapsed="false">
      <c r="B38" s="141" t="n">
        <v>3.968434</v>
      </c>
      <c r="C38" s="141" t="n">
        <v>0.315755</v>
      </c>
      <c r="D38" s="141" t="n">
        <v>441813</v>
      </c>
      <c r="E38" s="141" t="n">
        <v>1.253053</v>
      </c>
      <c r="F38" s="141" t="n">
        <v>0.441813</v>
      </c>
      <c r="G38" s="141" t="n">
        <f aca="false">1000*F38</f>
        <v>441.813</v>
      </c>
      <c r="H38" s="141" t="n">
        <v>125</v>
      </c>
      <c r="S38" s="268"/>
    </row>
    <row r="39" customFormat="false" ht="14.25" hidden="false" customHeight="false" outlineLevel="0" collapsed="false">
      <c r="B39" s="141" t="n">
        <v>4.469612</v>
      </c>
      <c r="C39" s="141" t="n">
        <v>0.306691</v>
      </c>
      <c r="D39" s="141" t="n">
        <v>344156</v>
      </c>
      <c r="E39" s="141" t="n">
        <v>1.37079</v>
      </c>
      <c r="F39" s="141" t="n">
        <v>0.344156</v>
      </c>
      <c r="G39" s="141" t="n">
        <f aca="false">1000*F39</f>
        <v>344.156</v>
      </c>
      <c r="H39" s="141" t="n">
        <v>125</v>
      </c>
      <c r="S39" s="268"/>
    </row>
    <row r="40" customFormat="false" ht="14.25" hidden="false" customHeight="false" outlineLevel="0" collapsed="false">
      <c r="B40" s="141" t="n">
        <v>2.686277</v>
      </c>
      <c r="C40" s="141" t="n">
        <v>1.521733</v>
      </c>
      <c r="D40" s="141" t="n">
        <v>12623</v>
      </c>
      <c r="E40" s="141" t="n">
        <v>4.087796</v>
      </c>
      <c r="F40" s="141" t="n">
        <v>0.012623</v>
      </c>
      <c r="G40" s="141" t="n">
        <f aca="false">1000*F40</f>
        <v>12.623</v>
      </c>
      <c r="H40" s="141" t="n">
        <v>125</v>
      </c>
      <c r="S40" s="268"/>
    </row>
    <row r="41" customFormat="false" ht="14.25" hidden="false" customHeight="false" outlineLevel="0" collapsed="false">
      <c r="B41" s="141" t="n">
        <v>3.218203</v>
      </c>
      <c r="C41" s="141" t="n">
        <v>1.436635</v>
      </c>
      <c r="D41" s="141" t="n">
        <v>10184</v>
      </c>
      <c r="E41" s="141" t="n">
        <v>4.623383</v>
      </c>
      <c r="F41" s="141" t="n">
        <v>0.010184</v>
      </c>
      <c r="G41" s="141" t="n">
        <f aca="false">1000*F41</f>
        <v>10.184</v>
      </c>
      <c r="H41" s="141" t="n">
        <v>125</v>
      </c>
      <c r="S41" s="268"/>
    </row>
    <row r="42" customFormat="false" ht="14.25" hidden="false" customHeight="false" outlineLevel="0" collapsed="false">
      <c r="B42" s="141" t="n">
        <v>3.734755</v>
      </c>
      <c r="C42" s="141" t="n">
        <v>1.344991</v>
      </c>
      <c r="D42" s="141" t="n">
        <v>8007</v>
      </c>
      <c r="E42" s="141" t="n">
        <v>5.023212</v>
      </c>
      <c r="F42" s="141" t="n">
        <v>0.008007</v>
      </c>
      <c r="G42" s="141" t="n">
        <f aca="false">1000*F42</f>
        <v>8.007</v>
      </c>
      <c r="H42" s="141" t="n">
        <v>125</v>
      </c>
      <c r="S42" s="268"/>
    </row>
    <row r="43" customFormat="false" ht="14.25" hidden="false" customHeight="false" outlineLevel="0" collapsed="false">
      <c r="B43" s="141" t="n">
        <v>4.247208</v>
      </c>
      <c r="C43" s="141" t="n">
        <v>1.302492</v>
      </c>
      <c r="D43" s="141" t="n">
        <v>6375</v>
      </c>
      <c r="E43" s="141" t="n">
        <v>5.531954</v>
      </c>
      <c r="F43" s="141" t="n">
        <v>0.006375</v>
      </c>
      <c r="G43" s="141" t="n">
        <f aca="false">1000*F43</f>
        <v>6.375</v>
      </c>
      <c r="H43" s="141" t="n">
        <v>125</v>
      </c>
      <c r="S43" s="268"/>
    </row>
    <row r="44" customFormat="false" ht="14.25" hidden="false" customHeight="false" outlineLevel="0" collapsed="false">
      <c r="B44" s="141" t="n">
        <v>4.754536</v>
      </c>
      <c r="C44" s="141" t="n">
        <v>1.284667</v>
      </c>
      <c r="D44" s="141" t="n">
        <v>5148</v>
      </c>
      <c r="E44" s="141" t="n">
        <v>6.107995</v>
      </c>
      <c r="F44" s="141" t="n">
        <v>0.005148</v>
      </c>
      <c r="G44" s="141" t="n">
        <f aca="false">1000*F44</f>
        <v>5.148</v>
      </c>
      <c r="H44" s="141" t="n">
        <v>125</v>
      </c>
    </row>
    <row r="45" customFormat="false" ht="14.25" hidden="false" customHeight="false" outlineLevel="0" collapsed="false">
      <c r="B45" s="141" t="n">
        <v>3.134161</v>
      </c>
      <c r="C45" s="141" t="n">
        <v>5.370105</v>
      </c>
      <c r="D45" s="141" t="n">
        <v>625</v>
      </c>
      <c r="E45" s="141" t="n">
        <v>16.830774</v>
      </c>
      <c r="F45" s="141" t="n">
        <v>0.000625</v>
      </c>
      <c r="G45" s="141" t="n">
        <f aca="false">1000*F45</f>
        <v>0.625</v>
      </c>
      <c r="H45" s="141" t="n">
        <v>125</v>
      </c>
    </row>
    <row r="46" customFormat="false" ht="14.25" hidden="false" customHeight="false" outlineLevel="0" collapsed="false">
      <c r="B46" s="141" t="n">
        <v>3.658912</v>
      </c>
      <c r="C46" s="141" t="n">
        <v>5.049854</v>
      </c>
      <c r="D46" s="141" t="n">
        <v>501</v>
      </c>
      <c r="E46" s="141" t="n">
        <v>18.476971</v>
      </c>
      <c r="F46" s="141" t="n">
        <v>0.000501</v>
      </c>
      <c r="G46" s="141" t="n">
        <f aca="false">1000*F46</f>
        <v>0.501</v>
      </c>
      <c r="H46" s="141" t="n">
        <v>125</v>
      </c>
    </row>
    <row r="47" customFormat="false" ht="14.25" hidden="false" customHeight="false" outlineLevel="0" collapsed="false">
      <c r="B47" s="141" t="n">
        <v>4.169315</v>
      </c>
      <c r="C47" s="141" t="n">
        <v>5.081073</v>
      </c>
      <c r="D47" s="141" t="n">
        <v>404</v>
      </c>
      <c r="E47" s="141" t="n">
        <v>21.184594</v>
      </c>
      <c r="F47" s="141" t="n">
        <v>0.000404</v>
      </c>
      <c r="G47" s="141" t="n">
        <f aca="false">1000*F47</f>
        <v>0.404</v>
      </c>
      <c r="H47" s="141" t="n">
        <v>125</v>
      </c>
    </row>
    <row r="48" customFormat="false" ht="14.25" hidden="false" customHeight="false" outlineLevel="0" collapsed="false">
      <c r="B48" s="141" t="n">
        <v>4.674594</v>
      </c>
      <c r="C48" s="141" t="n">
        <v>5.04079</v>
      </c>
      <c r="D48" s="141" t="n">
        <v>349</v>
      </c>
      <c r="E48" s="141" t="n">
        <v>23.563647</v>
      </c>
      <c r="F48" s="141" t="n">
        <v>0.000349</v>
      </c>
      <c r="G48" s="141" t="n">
        <f aca="false">1000*F48</f>
        <v>0.349</v>
      </c>
      <c r="H48" s="141" t="n">
        <v>125</v>
      </c>
    </row>
    <row r="49" customFormat="false" ht="14.25" hidden="false" customHeight="false" outlineLevel="0" collapsed="false">
      <c r="G49" s="141" t="n">
        <f aca="false">1000*F49</f>
        <v>0</v>
      </c>
    </row>
    <row r="50" customFormat="false" ht="14.25" hidden="false" customHeight="false" outlineLevel="0" collapsed="false">
      <c r="B50" s="141" t="n">
        <v>2.926</v>
      </c>
      <c r="C50" s="141" t="n">
        <v>0.339414</v>
      </c>
      <c r="E50" s="141" t="n">
        <f aca="false">B50*C50</f>
        <v>0.993125364</v>
      </c>
      <c r="G50" s="141" t="n">
        <f aca="false">1000*F50</f>
        <v>0</v>
      </c>
      <c r="H50" s="141" t="n">
        <v>-40</v>
      </c>
    </row>
    <row r="51" customFormat="false" ht="14.25" hidden="false" customHeight="false" outlineLevel="0" collapsed="false">
      <c r="B51" s="141" t="n">
        <v>3.43</v>
      </c>
      <c r="C51" s="141" t="n">
        <v>0.306129</v>
      </c>
      <c r="E51" s="141" t="n">
        <f aca="false">B51*C51</f>
        <v>1.05002247</v>
      </c>
      <c r="G51" s="141" t="n">
        <f aca="false">1000*F51</f>
        <v>0</v>
      </c>
      <c r="H51" s="141" t="n">
        <v>-40</v>
      </c>
    </row>
    <row r="52" customFormat="false" ht="14.25" hidden="false" customHeight="false" outlineLevel="0" collapsed="false">
      <c r="B52" s="141" t="n">
        <v>3.931</v>
      </c>
      <c r="C52" s="141" t="n">
        <v>0.288177</v>
      </c>
      <c r="E52" s="141" t="n">
        <f aca="false">B52*C52</f>
        <v>1.132823787</v>
      </c>
      <c r="G52" s="141" t="n">
        <f aca="false">1000*F52</f>
        <v>0</v>
      </c>
      <c r="H52" s="141" t="n">
        <v>-40</v>
      </c>
    </row>
    <row r="53" customFormat="false" ht="14.25" hidden="false" customHeight="false" outlineLevel="0" collapsed="false">
      <c r="B53" s="141" t="n">
        <v>4.422</v>
      </c>
      <c r="C53" s="141" t="n">
        <v>0.276899</v>
      </c>
      <c r="E53" s="141" t="n">
        <f aca="false">B53*C53</f>
        <v>1.224447378</v>
      </c>
      <c r="G53" s="141" t="n">
        <f aca="false">1000*F53</f>
        <v>0</v>
      </c>
      <c r="H53" s="141" t="n">
        <v>-40</v>
      </c>
    </row>
    <row r="54" customFormat="false" ht="14.25" hidden="false" customHeight="false" outlineLevel="0" collapsed="false">
      <c r="B54" s="141" t="n">
        <v>4.936</v>
      </c>
      <c r="C54" s="141" t="n">
        <v>0.26942</v>
      </c>
      <c r="E54" s="141" t="n">
        <f aca="false">B54*C54</f>
        <v>1.32985712</v>
      </c>
      <c r="G54" s="141" t="n">
        <f aca="false">1000*F54</f>
        <v>0</v>
      </c>
      <c r="H54" s="141" t="n">
        <v>-40</v>
      </c>
    </row>
    <row r="55" customFormat="false" ht="14.25" hidden="false" customHeight="false" outlineLevel="0" collapsed="false">
      <c r="B55" s="141" t="n">
        <v>2.704725</v>
      </c>
      <c r="C55" s="141" t="n">
        <v>1.664437</v>
      </c>
      <c r="D55" s="141" t="n">
        <v>2031010</v>
      </c>
      <c r="E55" s="141" t="n">
        <v>4.501844</v>
      </c>
      <c r="F55" s="141" t="n">
        <v>2.03101</v>
      </c>
      <c r="G55" s="141" t="n">
        <f aca="false">1000*F55</f>
        <v>2031.01</v>
      </c>
      <c r="H55" s="141" t="n">
        <v>-40</v>
      </c>
    </row>
    <row r="56" customFormat="false" ht="14.25" hidden="false" customHeight="false" outlineLevel="0" collapsed="false">
      <c r="B56" s="141" t="n">
        <v>3.24895</v>
      </c>
      <c r="C56" s="141" t="n">
        <v>1.490312</v>
      </c>
      <c r="D56" s="141" t="n">
        <v>1365979</v>
      </c>
      <c r="E56" s="141" t="n">
        <v>4.841949</v>
      </c>
      <c r="F56" s="141" t="n">
        <v>1.365979</v>
      </c>
      <c r="G56" s="141" t="n">
        <f aca="false">1000*F56</f>
        <v>1365.979</v>
      </c>
      <c r="H56" s="141" t="n">
        <v>-40</v>
      </c>
    </row>
    <row r="57" customFormat="false" ht="14.25" hidden="false" customHeight="false" outlineLevel="0" collapsed="false">
      <c r="B57" s="141" t="n">
        <v>3.773702</v>
      </c>
      <c r="C57" s="141" t="n">
        <v>1.393431</v>
      </c>
      <c r="D57" s="141" t="n">
        <v>936735</v>
      </c>
      <c r="E57" s="141" t="n">
        <v>5.258393</v>
      </c>
      <c r="F57" s="141" t="n">
        <v>0.936735</v>
      </c>
      <c r="G57" s="141" t="n">
        <f aca="false">1000*F57</f>
        <v>936.735</v>
      </c>
      <c r="H57" s="141" t="n">
        <v>-40</v>
      </c>
    </row>
    <row r="58" customFormat="false" ht="14.25" hidden="false" customHeight="false" outlineLevel="0" collapsed="false">
      <c r="B58" s="141" t="n">
        <v>4.291279</v>
      </c>
      <c r="C58" s="141" t="n">
        <v>1.385173</v>
      </c>
      <c r="D58" s="141" t="n">
        <v>673948</v>
      </c>
      <c r="E58" s="141" t="n">
        <v>5.944164</v>
      </c>
      <c r="F58" s="141" t="n">
        <v>0.673948</v>
      </c>
      <c r="G58" s="141" t="n">
        <f aca="false">1000*F58</f>
        <v>673.948</v>
      </c>
      <c r="H58" s="141" t="n">
        <v>-40</v>
      </c>
    </row>
    <row r="59" customFormat="false" ht="14.25" hidden="false" customHeight="false" outlineLevel="0" collapsed="false">
      <c r="B59" s="141" t="n">
        <v>4.804756</v>
      </c>
      <c r="C59" s="141" t="n">
        <v>1.342473</v>
      </c>
      <c r="D59" s="141" t="n">
        <v>505132</v>
      </c>
      <c r="E59" s="141" t="n">
        <v>6.450255</v>
      </c>
      <c r="F59" s="141" t="n">
        <v>0.505132</v>
      </c>
      <c r="G59" s="141" t="n">
        <f aca="false">1000*F59</f>
        <v>505.132</v>
      </c>
      <c r="H59" s="141" t="n">
        <v>-40</v>
      </c>
    </row>
    <row r="60" customFormat="false" ht="14.25" hidden="false" customHeight="false" outlineLevel="0" collapsed="false">
      <c r="B60" s="141" t="n">
        <v>3.124937</v>
      </c>
      <c r="C60" s="141" t="n">
        <v>4.734637</v>
      </c>
      <c r="D60" s="141" t="n">
        <v>36134</v>
      </c>
      <c r="E60" s="141" t="n">
        <v>14.795442</v>
      </c>
      <c r="F60" s="141" t="n">
        <v>0.036134</v>
      </c>
      <c r="G60" s="141" t="n">
        <f aca="false">1000*F60</f>
        <v>36.134</v>
      </c>
      <c r="H60" s="141" t="n">
        <v>-40</v>
      </c>
    </row>
    <row r="61" customFormat="false" ht="14.25" hidden="false" customHeight="false" outlineLevel="0" collapsed="false">
      <c r="B61" s="141" t="n">
        <v>3.655838</v>
      </c>
      <c r="C61" s="141" t="n">
        <v>4.938068</v>
      </c>
      <c r="D61" s="141" t="n">
        <v>28509</v>
      </c>
      <c r="E61" s="141" t="n">
        <v>18.052777</v>
      </c>
      <c r="F61" s="141" t="n">
        <v>0.028509</v>
      </c>
      <c r="G61" s="141" t="n">
        <f aca="false">1000*F61</f>
        <v>28.509</v>
      </c>
      <c r="H61" s="141" t="n">
        <v>-40</v>
      </c>
    </row>
    <row r="62" customFormat="false" ht="14.25" hidden="false" customHeight="false" outlineLevel="0" collapsed="false">
      <c r="B62" s="141" t="n">
        <v>4.17444</v>
      </c>
      <c r="C62" s="141" t="n">
        <v>4.787006</v>
      </c>
      <c r="D62" s="141" t="n">
        <v>22233</v>
      </c>
      <c r="E62" s="141" t="n">
        <v>19.983069</v>
      </c>
      <c r="F62" s="141" t="n">
        <v>0.022233</v>
      </c>
      <c r="G62" s="141" t="n">
        <f aca="false">1000*F62</f>
        <v>22.233</v>
      </c>
      <c r="H62" s="141" t="n">
        <v>-40</v>
      </c>
    </row>
    <row r="63" customFormat="false" ht="14.25" hidden="false" customHeight="false" outlineLevel="0" collapsed="false">
      <c r="B63" s="141" t="n">
        <v>4.679718</v>
      </c>
      <c r="C63" s="141" t="n">
        <v>4.782977</v>
      </c>
      <c r="D63" s="141" t="n">
        <v>17659</v>
      </c>
      <c r="E63" s="141" t="n">
        <v>22.382984</v>
      </c>
      <c r="F63" s="141" t="n">
        <v>0.017659</v>
      </c>
      <c r="G63" s="141" t="n">
        <f aca="false">1000*F63</f>
        <v>17.659</v>
      </c>
      <c r="H63" s="141" t="n">
        <v>-40</v>
      </c>
    </row>
  </sheetData>
  <sheetProtection algorithmName="SHA-512" hashValue="UtEeqB5C4jHO+ZZ+hqM1OZAgpBRqUSCckWdHr5/4n4PQWK53y1vnxiEsOGPcxqzv0PtHL4y6yRk5aUQtake5sA==" saltValue="fouLVFvuRT7hxVFw6I6G+A==" spinCount="100000" sheet="true" objects="true" scenarios="true"/>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8</TotalTime>
  <Application>LibreOffice/25.8.4.2$Linux_X86_64 LibreOffice_project/580$Build-2</Application>
  <AppVersion>15.0000</AppVersion>
  <Company>Texas Instruments Incorporated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2013-05-30T14:28:05Z</dcterms:created>
  <dc:creator>vishal.gupta@ti.com</dc:creator>
  <dc:description/>
  <dc:language>en-US</dc:language>
  <cp:lastModifiedBy/>
  <cp:lastPrinted>2013-06-05T10:58:25Z</cp:lastPrinted>
  <dcterms:modified xsi:type="dcterms:W3CDTF">2026-02-15T08:56:28Z</dcterms:modified>
  <cp:revision>2</cp:revision>
  <dc:subject/>
  <dc:title/>
</cp:coreProperties>
</file>

<file path=docProps/custom.xml><?xml version="1.0" encoding="utf-8"?>
<Properties xmlns="http://schemas.openxmlformats.org/officeDocument/2006/custom-properties" xmlns:vt="http://schemas.openxmlformats.org/officeDocument/2006/docPropsVTypes"/>
</file>